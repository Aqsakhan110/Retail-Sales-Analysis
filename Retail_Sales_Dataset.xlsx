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BISMILLAH COMP\Documents\"/>
    </mc:Choice>
  </mc:AlternateContent>
  <bookViews>
    <workbookView xWindow="0" yWindow="0" windowWidth="18350" windowHeight="6800" firstSheet="1" activeTab="3"/>
  </bookViews>
  <sheets>
    <sheet name="uncleaned_sales data" sheetId="8" r:id="rId1"/>
    <sheet name="clean_sales data" sheetId="3" r:id="rId2"/>
    <sheet name="pivot and charts" sheetId="6" r:id="rId3"/>
    <sheet name="Dashboard" sheetId="7" r:id="rId4"/>
  </sheets>
  <definedNames>
    <definedName name="pivot1">'pivot and charts'!$A$3:$B$12</definedName>
    <definedName name="_xlnm.Print_Area" localSheetId="3">Dashboard!$A$1:$W$41</definedName>
    <definedName name="Slicer_Customer_Type">#N/A</definedName>
    <definedName name="Slicer_Month">#N/A</definedName>
    <definedName name="Slicer_Payment_Method">#N/A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28" i="6" l="1"/>
  <c r="R90" i="3" l="1"/>
  <c r="N90" i="3"/>
  <c r="R89" i="3"/>
  <c r="N89" i="3"/>
  <c r="R88" i="3"/>
  <c r="N88" i="3"/>
  <c r="R87" i="3"/>
  <c r="N87" i="3"/>
  <c r="R86" i="3"/>
  <c r="N86" i="3"/>
  <c r="R85" i="3"/>
  <c r="N85" i="3"/>
  <c r="R84" i="3"/>
  <c r="N84" i="3"/>
  <c r="R83" i="3"/>
  <c r="N83" i="3"/>
  <c r="R82" i="3"/>
  <c r="N82" i="3"/>
  <c r="R81" i="3"/>
  <c r="N81" i="3"/>
  <c r="R80" i="3"/>
  <c r="N80" i="3"/>
  <c r="R79" i="3"/>
  <c r="N79" i="3"/>
  <c r="R78" i="3"/>
  <c r="N78" i="3"/>
  <c r="R77" i="3"/>
  <c r="N77" i="3"/>
  <c r="R76" i="3"/>
  <c r="N76" i="3"/>
  <c r="R75" i="3"/>
  <c r="N75" i="3"/>
  <c r="R74" i="3"/>
  <c r="N74" i="3"/>
  <c r="R73" i="3"/>
  <c r="N73" i="3"/>
  <c r="R72" i="3"/>
  <c r="N72" i="3"/>
  <c r="R71" i="3"/>
  <c r="N71" i="3"/>
  <c r="R70" i="3"/>
  <c r="N70" i="3"/>
  <c r="R69" i="3"/>
  <c r="N69" i="3"/>
  <c r="R68" i="3"/>
  <c r="N68" i="3"/>
  <c r="R67" i="3"/>
  <c r="N67" i="3"/>
  <c r="R66" i="3"/>
  <c r="N66" i="3"/>
  <c r="R65" i="3"/>
  <c r="N65" i="3"/>
  <c r="R64" i="3"/>
  <c r="N64" i="3"/>
  <c r="R63" i="3"/>
  <c r="N63" i="3"/>
  <c r="R62" i="3"/>
  <c r="N62" i="3"/>
  <c r="R61" i="3"/>
  <c r="N61" i="3"/>
  <c r="R60" i="3"/>
  <c r="N60" i="3"/>
  <c r="R59" i="3"/>
  <c r="N59" i="3"/>
  <c r="R58" i="3"/>
  <c r="N58" i="3"/>
  <c r="R57" i="3"/>
  <c r="N57" i="3"/>
  <c r="R56" i="3"/>
  <c r="N56" i="3"/>
  <c r="R55" i="3"/>
  <c r="N55" i="3"/>
  <c r="R54" i="3"/>
  <c r="N54" i="3"/>
  <c r="R53" i="3"/>
  <c r="N53" i="3"/>
  <c r="R52" i="3"/>
  <c r="N52" i="3"/>
  <c r="R51" i="3"/>
  <c r="N51" i="3"/>
  <c r="R50" i="3"/>
  <c r="N50" i="3"/>
  <c r="R49" i="3"/>
  <c r="N49" i="3"/>
  <c r="R48" i="3"/>
  <c r="N48" i="3"/>
  <c r="R47" i="3"/>
  <c r="N47" i="3"/>
  <c r="R46" i="3"/>
  <c r="N46" i="3"/>
  <c r="R45" i="3"/>
  <c r="N45" i="3"/>
  <c r="R44" i="3"/>
  <c r="N44" i="3"/>
  <c r="R43" i="3"/>
  <c r="N43" i="3"/>
  <c r="R42" i="3"/>
  <c r="N42" i="3"/>
  <c r="R41" i="3"/>
  <c r="N41" i="3"/>
  <c r="R40" i="3"/>
  <c r="N40" i="3"/>
  <c r="R39" i="3"/>
  <c r="N39" i="3"/>
  <c r="R38" i="3"/>
  <c r="N38" i="3"/>
  <c r="R37" i="3"/>
  <c r="N37" i="3"/>
  <c r="R36" i="3"/>
  <c r="N36" i="3"/>
  <c r="R35" i="3"/>
  <c r="N35" i="3"/>
  <c r="R34" i="3"/>
  <c r="N34" i="3"/>
  <c r="R33" i="3"/>
  <c r="N33" i="3"/>
  <c r="R32" i="3"/>
  <c r="N32" i="3"/>
  <c r="R31" i="3"/>
  <c r="N31" i="3"/>
  <c r="R30" i="3"/>
  <c r="N30" i="3"/>
  <c r="R29" i="3"/>
  <c r="N29" i="3"/>
  <c r="R28" i="3"/>
  <c r="N28" i="3"/>
  <c r="R27" i="3"/>
  <c r="N27" i="3"/>
  <c r="R26" i="3"/>
  <c r="N26" i="3"/>
  <c r="R25" i="3"/>
  <c r="N25" i="3"/>
  <c r="R24" i="3"/>
  <c r="N24" i="3"/>
  <c r="R23" i="3"/>
  <c r="N23" i="3"/>
  <c r="R22" i="3"/>
  <c r="N22" i="3"/>
  <c r="R21" i="3"/>
  <c r="N21" i="3"/>
  <c r="R20" i="3"/>
  <c r="N20" i="3"/>
  <c r="R19" i="3"/>
  <c r="N19" i="3"/>
  <c r="R18" i="3"/>
  <c r="N18" i="3"/>
  <c r="R17" i="3"/>
  <c r="N17" i="3"/>
  <c r="R16" i="3"/>
  <c r="N16" i="3"/>
  <c r="R15" i="3"/>
  <c r="N15" i="3"/>
  <c r="R14" i="3"/>
  <c r="N14" i="3"/>
  <c r="R13" i="3"/>
  <c r="N13" i="3"/>
  <c r="R12" i="3"/>
  <c r="N12" i="3"/>
  <c r="R11" i="3"/>
  <c r="N11" i="3"/>
  <c r="R10" i="3"/>
  <c r="N10" i="3"/>
  <c r="R9" i="3"/>
  <c r="N9" i="3"/>
  <c r="R8" i="3"/>
  <c r="N8" i="3"/>
  <c r="R7" i="3"/>
  <c r="N7" i="3"/>
  <c r="R6" i="3"/>
  <c r="N6" i="3"/>
  <c r="R5" i="3"/>
  <c r="N5" i="3"/>
  <c r="R4" i="3"/>
  <c r="N4" i="3"/>
  <c r="R3" i="3"/>
  <c r="N3" i="3"/>
  <c r="R2" i="3"/>
  <c r="N2" i="3"/>
  <c r="D43" i="7"/>
  <c r="U32" i="6"/>
  <c r="E43" i="7"/>
  <c r="H43" i="7"/>
  <c r="F43" i="7"/>
  <c r="G23" i="6"/>
  <c r="E23" i="6"/>
  <c r="F25" i="6" l="1"/>
  <c r="H25" i="6"/>
</calcChain>
</file>

<file path=xl/sharedStrings.xml><?xml version="1.0" encoding="utf-8"?>
<sst xmlns="http://schemas.openxmlformats.org/spreadsheetml/2006/main" count="1713" uniqueCount="251">
  <si>
    <t>Order ID</t>
  </si>
  <si>
    <t>Date</t>
  </si>
  <si>
    <t>Salesperson</t>
  </si>
  <si>
    <t>Region</t>
  </si>
  <si>
    <t>Category</t>
  </si>
  <si>
    <t>Product Name</t>
  </si>
  <si>
    <t>Units Sold</t>
  </si>
  <si>
    <t>Unit Price (PKR)</t>
  </si>
  <si>
    <t>Discount %</t>
  </si>
  <si>
    <t>Total Revenue (PKR)</t>
  </si>
  <si>
    <t>Cost Price (Unit)</t>
  </si>
  <si>
    <t>Total Cost (PKR)</t>
  </si>
  <si>
    <t>Customer Type</t>
  </si>
  <si>
    <t>Payment Method</t>
  </si>
  <si>
    <t>Delivery Status</t>
  </si>
  <si>
    <t>ORD-1002</t>
  </si>
  <si>
    <t>2024-10-06</t>
  </si>
  <si>
    <t>Sara Khan</t>
  </si>
  <si>
    <t>Faisalabad</t>
  </si>
  <si>
    <t>Electronics</t>
  </si>
  <si>
    <t>Mobile Phone</t>
  </si>
  <si>
    <t>EasyPaisa</t>
  </si>
  <si>
    <t>Pending</t>
  </si>
  <si>
    <t>ORD-1005</t>
  </si>
  <si>
    <t>2024-06-25</t>
  </si>
  <si>
    <t>Nadia Iqbal</t>
  </si>
  <si>
    <t>Quetta</t>
  </si>
  <si>
    <t>Headphones</t>
  </si>
  <si>
    <t>Returning</t>
  </si>
  <si>
    <t>Cash</t>
  </si>
  <si>
    <t>Delivered</t>
  </si>
  <si>
    <t>ORD-1012</t>
  </si>
  <si>
    <t>2024-03-11</t>
  </si>
  <si>
    <t>Kamran Sheikh</t>
  </si>
  <si>
    <t>Rawalpindi</t>
  </si>
  <si>
    <t>New</t>
  </si>
  <si>
    <t>Bank Transfer</t>
  </si>
  <si>
    <t>ORD-1021</t>
  </si>
  <si>
    <t>2024-11-19</t>
  </si>
  <si>
    <t>Ahmed Ali</t>
  </si>
  <si>
    <t>Peshawar</t>
  </si>
  <si>
    <t>Debit Card</t>
  </si>
  <si>
    <t>ORD-1026</t>
  </si>
  <si>
    <t>2024-11-29</t>
  </si>
  <si>
    <t>Karachi</t>
  </si>
  <si>
    <t>Laptop</t>
  </si>
  <si>
    <t>JazzCash</t>
  </si>
  <si>
    <t>ORD-1030</t>
  </si>
  <si>
    <t>2024-02-04</t>
  </si>
  <si>
    <t>Fatima Malik</t>
  </si>
  <si>
    <t>Smartwatch</t>
  </si>
  <si>
    <t>ORD-1041</t>
  </si>
  <si>
    <t>2024-05-07</t>
  </si>
  <si>
    <t>Usman Raza</t>
  </si>
  <si>
    <t xml:space="preserve"> Karachi </t>
  </si>
  <si>
    <t>Credit Card</t>
  </si>
  <si>
    <t>Shipped</t>
  </si>
  <si>
    <t>ORD-1044</t>
  </si>
  <si>
    <t>2024-05-13</t>
  </si>
  <si>
    <t>Bilal Hussain</t>
  </si>
  <si>
    <t>ORD-1051</t>
  </si>
  <si>
    <t>2024-04-11</t>
  </si>
  <si>
    <t>ORD-1057</t>
  </si>
  <si>
    <t>2024-12-21</t>
  </si>
  <si>
    <t>ORD-1066</t>
  </si>
  <si>
    <t>2024-07-11</t>
  </si>
  <si>
    <t>Hassan Mirza</t>
  </si>
  <si>
    <t>ORD-1088</t>
  </si>
  <si>
    <t>2024-08-09</t>
  </si>
  <si>
    <t>Ayesha Siddiqui</t>
  </si>
  <si>
    <t>ORD-1095</t>
  </si>
  <si>
    <t>2024-04-25</t>
  </si>
  <si>
    <t>ORD-1101</t>
  </si>
  <si>
    <t>2024-03-05</t>
  </si>
  <si>
    <t>Multan</t>
  </si>
  <si>
    <t>laptop</t>
  </si>
  <si>
    <t>ORD-1105</t>
  </si>
  <si>
    <t>2024-01-15</t>
  </si>
  <si>
    <t>ORD-1108</t>
  </si>
  <si>
    <t>2024-08-26</t>
  </si>
  <si>
    <t>Islamabad</t>
  </si>
  <si>
    <t>Cancelled</t>
  </si>
  <si>
    <t>ORD-1112</t>
  </si>
  <si>
    <t>2024-05-08</t>
  </si>
  <si>
    <t>Lahor</t>
  </si>
  <si>
    <t>Tablet</t>
  </si>
  <si>
    <t>ORD-1115</t>
  </si>
  <si>
    <t>ORD-1117</t>
  </si>
  <si>
    <t>2024-10-14</t>
  </si>
  <si>
    <t>ORD-1118</t>
  </si>
  <si>
    <t>2024-01-20</t>
  </si>
  <si>
    <t>ORD-1121</t>
  </si>
  <si>
    <t>2024-07-07</t>
  </si>
  <si>
    <t>ORD-1122</t>
  </si>
  <si>
    <t>2024-04-18</t>
  </si>
  <si>
    <t>ORD-1125</t>
  </si>
  <si>
    <t>2024-05-01</t>
  </si>
  <si>
    <t>ORD-1128</t>
  </si>
  <si>
    <t>2024-09-08</t>
  </si>
  <si>
    <t>Zara Butt</t>
  </si>
  <si>
    <t>Lahore</t>
  </si>
  <si>
    <t>ORD-1132</t>
  </si>
  <si>
    <t>2024-02-13</t>
  </si>
  <si>
    <t>ORD-1137</t>
  </si>
  <si>
    <t>2024-03-14</t>
  </si>
  <si>
    <t>ORD-1142</t>
  </si>
  <si>
    <t>2024-05-10</t>
  </si>
  <si>
    <t>ORD-1143</t>
  </si>
  <si>
    <t>2024-09-29</t>
  </si>
  <si>
    <t>ORD-1148</t>
  </si>
  <si>
    <t>2024-03-29</t>
  </si>
  <si>
    <t>ORD-1151</t>
  </si>
  <si>
    <t>ORD-1153</t>
  </si>
  <si>
    <t>2024-06-24</t>
  </si>
  <si>
    <t>ORD-1164</t>
  </si>
  <si>
    <t>2024-09-19</t>
  </si>
  <si>
    <t>ORD-1167</t>
  </si>
  <si>
    <t>2024-11-11</t>
  </si>
  <si>
    <t>ORD-1168</t>
  </si>
  <si>
    <t>ORD-1175</t>
  </si>
  <si>
    <t>2024-10-05</t>
  </si>
  <si>
    <t>ORD-1177</t>
  </si>
  <si>
    <t>ORD-1180</t>
  </si>
  <si>
    <t>2024-07-26</t>
  </si>
  <si>
    <t>ORD-1182</t>
  </si>
  <si>
    <t>2024-07-08</t>
  </si>
  <si>
    <t>ORD-1183</t>
  </si>
  <si>
    <t>2024-05-22</t>
  </si>
  <si>
    <t>ORD-1185</t>
  </si>
  <si>
    <t>2024-08-19</t>
  </si>
  <si>
    <t>ORD-1217</t>
  </si>
  <si>
    <t>2024-09-28</t>
  </si>
  <si>
    <t>ORD-1230</t>
  </si>
  <si>
    <t>2024-03-25</t>
  </si>
  <si>
    <t>ORD-1233</t>
  </si>
  <si>
    <t>2024-12-24</t>
  </si>
  <si>
    <t>ORD-1235</t>
  </si>
  <si>
    <t>2024-10-03</t>
  </si>
  <si>
    <t>Returned</t>
  </si>
  <si>
    <t>ORD-1238</t>
  </si>
  <si>
    <t>2024-01-09</t>
  </si>
  <si>
    <t>ORD-1246</t>
  </si>
  <si>
    <t>2024-12-10</t>
  </si>
  <si>
    <t>ORD-1256</t>
  </si>
  <si>
    <t>2024-10-09</t>
  </si>
  <si>
    <t>ORD-1257</t>
  </si>
  <si>
    <t>2024-12-23</t>
  </si>
  <si>
    <t>ORD-1259</t>
  </si>
  <si>
    <t>2024-12-22</t>
  </si>
  <si>
    <t>ORD-1260</t>
  </si>
  <si>
    <t>2024-01-29</t>
  </si>
  <si>
    <t>ORD-1264</t>
  </si>
  <si>
    <t>2024-03-12</t>
  </si>
  <si>
    <t>ORD-1269</t>
  </si>
  <si>
    <t>2024-10-11</t>
  </si>
  <si>
    <t>ORD-1282</t>
  </si>
  <si>
    <t>2024-08-08</t>
  </si>
  <si>
    <t>ORD-1305</t>
  </si>
  <si>
    <t>2024-02-17</t>
  </si>
  <si>
    <t>ORD-1316</t>
  </si>
  <si>
    <t>2024-11-03</t>
  </si>
  <si>
    <t>ORD-1319</t>
  </si>
  <si>
    <t>ORD-1328</t>
  </si>
  <si>
    <t>2024-07-15</t>
  </si>
  <si>
    <t>ORD-1330</t>
  </si>
  <si>
    <t>2024-09-21</t>
  </si>
  <si>
    <t>ORD-1333</t>
  </si>
  <si>
    <t>ORD-1339</t>
  </si>
  <si>
    <t>2024-08-25</t>
  </si>
  <si>
    <t>ORD-1342</t>
  </si>
  <si>
    <t>ORD-1343</t>
  </si>
  <si>
    <t>2024-11-26</t>
  </si>
  <si>
    <t>ORD-1349</t>
  </si>
  <si>
    <t>2024-06-12</t>
  </si>
  <si>
    <t>ORD-1355</t>
  </si>
  <si>
    <t>2024-03-13</t>
  </si>
  <si>
    <t>ORD-1359</t>
  </si>
  <si>
    <t>2024-09-11</t>
  </si>
  <si>
    <t>ORD-1360</t>
  </si>
  <si>
    <t>2024-02-15</t>
  </si>
  <si>
    <t>ORD-1362</t>
  </si>
  <si>
    <t>2024-06-28</t>
  </si>
  <si>
    <t>ORD-1368</t>
  </si>
  <si>
    <t>2024-09-02</t>
  </si>
  <si>
    <t>ORD-1377</t>
  </si>
  <si>
    <t>2024-03-16</t>
  </si>
  <si>
    <t>ORD-1378</t>
  </si>
  <si>
    <t>2024-12-01</t>
  </si>
  <si>
    <t>ORD-1382</t>
  </si>
  <si>
    <t>2024-07-27</t>
  </si>
  <si>
    <t>ORD-1386</t>
  </si>
  <si>
    <t>2024-05-12</t>
  </si>
  <si>
    <t>ORD-1401</t>
  </si>
  <si>
    <t>2024-08-07</t>
  </si>
  <si>
    <t>ORD-1402</t>
  </si>
  <si>
    <t>ORD-1407</t>
  </si>
  <si>
    <t>2024-12-04</t>
  </si>
  <si>
    <t>ORD-1408</t>
  </si>
  <si>
    <t>2024-08-30</t>
  </si>
  <si>
    <t>ORD-1417</t>
  </si>
  <si>
    <t>2024-03-26</t>
  </si>
  <si>
    <t>ORD-1419</t>
  </si>
  <si>
    <t>2024-02-27</t>
  </si>
  <si>
    <t>ORD-1425</t>
  </si>
  <si>
    <t>2024-02-22</t>
  </si>
  <si>
    <t>ORD-1428</t>
  </si>
  <si>
    <t>2024-11-20</t>
  </si>
  <si>
    <t>ORD-1431</t>
  </si>
  <si>
    <t>2024-09-15</t>
  </si>
  <si>
    <t>ORD-1446</t>
  </si>
  <si>
    <t>ORD-1448</t>
  </si>
  <si>
    <t>2024-11-24</t>
  </si>
  <si>
    <t>ORD-1450</t>
  </si>
  <si>
    <t>2024-04-08</t>
  </si>
  <si>
    <t>ORD-1451</t>
  </si>
  <si>
    <t>2024-12-09</t>
  </si>
  <si>
    <t>Faislabad</t>
  </si>
  <si>
    <t>ORD-1456</t>
  </si>
  <si>
    <t>2024-08-12</t>
  </si>
  <si>
    <t>ORD-1479</t>
  </si>
  <si>
    <t>2024-11-22</t>
  </si>
  <si>
    <t>Queta</t>
  </si>
  <si>
    <t>ORD-1494</t>
  </si>
  <si>
    <t>2024-09-22</t>
  </si>
  <si>
    <t>ORD-1495</t>
  </si>
  <si>
    <t>2024-01-19</t>
  </si>
  <si>
    <t>Profit (PKR)</t>
  </si>
  <si>
    <t>Month</t>
  </si>
  <si>
    <t>Sum of Total Revenue (PKR)</t>
  </si>
  <si>
    <t>Grand Total</t>
  </si>
  <si>
    <t>Mar</t>
  </si>
  <si>
    <t>Apr</t>
  </si>
  <si>
    <t>May</t>
  </si>
  <si>
    <t>Jul</t>
  </si>
  <si>
    <t>Aug</t>
  </si>
  <si>
    <t>Sep</t>
  </si>
  <si>
    <t>Nov</t>
  </si>
  <si>
    <t>Count of Payment Method</t>
  </si>
  <si>
    <t>totagsahsbasbas</t>
  </si>
  <si>
    <t>Feb</t>
  </si>
  <si>
    <t>Jun</t>
  </si>
  <si>
    <t>Oct</t>
  </si>
  <si>
    <t>Dec</t>
  </si>
  <si>
    <t>Jan</t>
  </si>
  <si>
    <t>Total Orders</t>
  </si>
  <si>
    <t>Total Units Sold</t>
  </si>
  <si>
    <t xml:space="preserve"> Total Revenue (PKR)</t>
  </si>
  <si>
    <t>Total Profit (PKR)</t>
  </si>
  <si>
    <t>Margin</t>
  </si>
  <si>
    <t>Average Profit Margin</t>
  </si>
  <si>
    <t>CAGR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</si>
</sst>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_ * #,##0.00_ ;_ * \-#,##0.00_ ;_ * &quot;-&quot;??_ ;_ @_ "/>
    <numFmt numFmtId="165" formatCode="_ * #,##0_ ;_ * \-#,##0_ ;_ * &quot;-&quot;??_ ;_ @_ "/>
    <numFmt numFmtId="166" formatCode="m/d/yyyy;@"/>
    <numFmt numFmtId="167" formatCode="0.0,,&quot; M&quot;"/>
  </numFmts>
  <fonts count="8">
    <font>
      <sz val="11"/>
      <color theme="1"/>
      <name val="Calibri"/>
      <charset val="134"/>
      <scheme val="minor"/>
    </font>
    <font>
      <sz val="11"/>
      <color theme="1"/>
      <name val="Calibri"/>
      <family val="2"/>
      <scheme val="minor"/>
    </font>
    <font>
      <sz val="11"/>
      <color theme="0"/>
      <name val="Calibri"/>
      <charset val="134"/>
      <scheme val="minor"/>
    </font>
    <font>
      <b/>
      <sz val="14"/>
      <color theme="1"/>
      <name val="Calibri"/>
      <charset val="134"/>
      <scheme val="minor"/>
    </font>
    <font>
      <b/>
      <sz val="20"/>
      <color theme="1"/>
      <name val="Calibri"/>
      <charset val="134"/>
      <scheme val="minor"/>
    </font>
    <font>
      <b/>
      <sz val="11"/>
      <name val="Calibri"/>
      <charset val="134"/>
      <scheme val="minor"/>
    </font>
    <font>
      <sz val="11"/>
      <color theme="1"/>
      <name val="Calibri"/>
      <charset val="134"/>
      <scheme val="minor"/>
    </font>
    <font>
      <strike/>
      <sz val="11"/>
      <color theme="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9" fontId="6" fillId="0" borderId="0" applyFont="0" applyFill="0" applyBorder="0" applyAlignment="0" applyProtection="0">
      <alignment vertical="center"/>
    </xf>
    <xf numFmtId="43" fontId="6" fillId="0" borderId="0" applyFont="0" applyFill="0" applyBorder="0" applyAlignment="0" applyProtection="0"/>
    <xf numFmtId="0" fontId="1" fillId="0" borderId="0"/>
  </cellStyleXfs>
  <cellXfs count="19">
    <xf numFmtId="0" fontId="0" fillId="0" borderId="0" xfId="0"/>
    <xf numFmtId="0" fontId="2" fillId="0" borderId="0" xfId="0" applyFont="1" applyFill="1"/>
    <xf numFmtId="0" fontId="4" fillId="0" borderId="0" xfId="0" applyFont="1"/>
    <xf numFmtId="165" fontId="0" fillId="0" borderId="0" xfId="0" applyNumberFormat="1"/>
    <xf numFmtId="10" fontId="0" fillId="0" borderId="0" xfId="0" applyNumberFormat="1"/>
    <xf numFmtId="9" fontId="0" fillId="0" borderId="0" xfId="1" applyFont="1" applyAlignment="1"/>
    <xf numFmtId="166" fontId="0" fillId="0" borderId="0" xfId="0" applyNumberFormat="1"/>
    <xf numFmtId="0" fontId="0" fillId="0" borderId="0" xfId="0" applyNumberFormat="1"/>
    <xf numFmtId="0" fontId="5" fillId="0" borderId="1" xfId="0" applyFont="1" applyFill="1" applyBorder="1" applyAlignment="1">
      <alignment horizontal="center" vertical="top"/>
    </xf>
    <xf numFmtId="0" fontId="0" fillId="0" borderId="0" xfId="0" applyFont="1" applyFill="1" applyAlignment="1"/>
    <xf numFmtId="0" fontId="0" fillId="0" borderId="0" xfId="0" pivotButton="1"/>
    <xf numFmtId="164" fontId="0" fillId="0" borderId="0" xfId="0" applyNumberFormat="1"/>
    <xf numFmtId="167" fontId="0" fillId="0" borderId="0" xfId="0" applyNumberFormat="1"/>
    <xf numFmtId="167" fontId="0" fillId="0" borderId="0" xfId="2" applyNumberFormat="1" applyFont="1"/>
    <xf numFmtId="9" fontId="0" fillId="0" borderId="0" xfId="0" applyNumberFormat="1"/>
    <xf numFmtId="10" fontId="7" fillId="0" borderId="0" xfId="0" applyNumberFormat="1" applyFont="1"/>
    <xf numFmtId="2" fontId="0" fillId="0" borderId="0" xfId="1" applyNumberFormat="1" applyFont="1" applyAlignment="1"/>
    <xf numFmtId="0" fontId="3" fillId="0" borderId="0" xfId="0" applyFont="1" applyAlignment="1">
      <alignment horizontal="center"/>
    </xf>
    <xf numFmtId="0" fontId="0" fillId="0" borderId="0" xfId="0" applyAlignment="1">
      <alignment horizontal="center"/>
    </xf>
  </cellXfs>
  <cellStyles count="4">
    <cellStyle name="Comma" xfId="2" builtinId="3"/>
    <cellStyle name="Normal" xfId="0" builtinId="0"/>
    <cellStyle name="Normal 2" xfId="3"/>
    <cellStyle name="Percent" xfId="1" builtinId="5"/>
  </cellStyles>
  <dxfs count="12">
    <dxf>
      <numFmt numFmtId="167" formatCode="0.0,,&quot; M&quot;"/>
    </dxf>
    <dxf>
      <numFmt numFmtId="164" formatCode="_ * #,##0.00_ ;_ * \-#,##0.00_ ;_ * &quot;-&quot;??_ ;_ @_ "/>
    </dxf>
    <dxf>
      <numFmt numFmtId="167" formatCode="0.0,,&quot; M&quot;"/>
    </dxf>
    <dxf>
      <numFmt numFmtId="168" formatCode="#,##0,,&quot;M&quot;"/>
    </dxf>
    <dxf>
      <numFmt numFmtId="169" formatCode="0.00&quot;M&quot;"/>
    </dxf>
    <dxf>
      <numFmt numFmtId="164" formatCode="_ * #,##0.00_ ;_ * \-#,##0.00_ ;_ * &quot;-&quot;??_ ;_ @_ "/>
    </dxf>
    <dxf>
      <numFmt numFmtId="13" formatCode="0%"/>
    </dxf>
    <dxf>
      <numFmt numFmtId="164" formatCode="_ * #,##0.00_ ;_ * \-#,##0.00_ ;_ * &quot;-&quot;??_ ;_ @_ "/>
    </dxf>
    <dxf>
      <font>
        <strike/>
      </font>
    </dxf>
    <dxf>
      <numFmt numFmtId="0" formatCode="General"/>
    </dxf>
    <dxf>
      <numFmt numFmtId="0" formatCode="General"/>
    </dxf>
    <dxf>
      <numFmt numFmtId="166" formatCode="m/d/yyyy;@"/>
    </dxf>
  </dxfs>
  <tableStyles count="0" defaultTableStyle="TableStyleMedium9" defaultPivotStyle="PivotStyleLight16"/>
  <colors>
    <mruColors>
      <color rgb="FF740000"/>
      <color rgb="FF4E0D0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charts!Month vs Revenue</c:name>
    <c:fmtId val="0"/>
  </c:pivotSource>
  <c:chart>
    <c:title>
      <c:tx>
        <c:rich>
          <a:bodyPr rot="0" spcFirstLastPara="0" vertOverflow="ellipsis" vert="horz" wrap="square" anchor="ctr" anchorCtr="1"/>
          <a:lstStyle/>
          <a:p>
            <a:pPr defTabSz="914400">
              <a:defRPr lang="en-US" sz="1400" b="1" i="0" u="none" strike="noStrike" kern="1200" spc="0" baseline="0">
                <a:solidFill>
                  <a:schemeClr val="tx1"/>
                </a:solidFill>
                <a:latin typeface="+mn-lt"/>
                <a:ea typeface="+mn-ea"/>
                <a:cs typeface="+mn-cs"/>
              </a:defRPr>
            </a:pPr>
            <a:r>
              <a:rPr lang="en-US" b="1">
                <a:solidFill>
                  <a:schemeClr val="tx1"/>
                </a:solidFill>
              </a:rPr>
              <a:t>Montly Trend Analysis</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tx2">
                <a:lumMod val="75000"/>
              </a:schemeClr>
            </a:solidFill>
            <a:round/>
          </a:ln>
          <a:effectLst>
            <a:outerShdw blurRad="50800" dist="38100" dir="2700000" algn="tl" rotWithShape="0">
              <a:prstClr val="black">
                <a:alpha val="40000"/>
              </a:prstClr>
            </a:outerShdw>
          </a:effectLst>
        </c:spPr>
        <c:marker>
          <c:symbol val="none"/>
        </c:marker>
      </c:pivotFmt>
    </c:pivotFmts>
    <c:plotArea>
      <c:layout>
        <c:manualLayout>
          <c:layoutTarget val="inner"/>
          <c:xMode val="edge"/>
          <c:yMode val="edge"/>
          <c:x val="9.4583517133570105E-2"/>
          <c:y val="0.18093664818584124"/>
          <c:w val="0.89826635145784095"/>
          <c:h val="0.70468306527909197"/>
        </c:manualLayout>
      </c:layout>
      <c:lineChart>
        <c:grouping val="standard"/>
        <c:varyColors val="0"/>
        <c:ser>
          <c:idx val="0"/>
          <c:order val="0"/>
          <c:tx>
            <c:strRef>
              <c:f>'pivot and charts'!$B$31</c:f>
              <c:strCache>
                <c:ptCount val="1"/>
                <c:pt idx="0">
                  <c:v>Total</c:v>
                </c:pt>
              </c:strCache>
            </c:strRef>
          </c:tx>
          <c:spPr>
            <a:ln w="28575" cap="rnd">
              <a:solidFill>
                <a:schemeClr val="tx2">
                  <a:lumMod val="75000"/>
                </a:schemeClr>
              </a:solidFill>
              <a:round/>
            </a:ln>
            <a:effectLst>
              <a:outerShdw blurRad="50800" dist="38100" dir="2700000" algn="tl" rotWithShape="0">
                <a:prstClr val="black">
                  <a:alpha val="40000"/>
                </a:prstClr>
              </a:outerShdw>
            </a:effectLst>
          </c:spPr>
          <c:marker>
            <c:symbol val="none"/>
          </c:marker>
          <c:cat>
            <c:strRef>
              <c:f>'pivot and charts'!$A$32:$A$44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charts'!$B$32:$B$44</c:f>
              <c:numCache>
                <c:formatCode>General</c:formatCode>
                <c:ptCount val="12"/>
                <c:pt idx="0">
                  <c:v>1320000</c:v>
                </c:pt>
                <c:pt idx="1">
                  <c:v>1092750</c:v>
                </c:pt>
                <c:pt idx="2">
                  <c:v>4213000</c:v>
                </c:pt>
                <c:pt idx="3">
                  <c:v>3602500</c:v>
                </c:pt>
                <c:pt idx="4">
                  <c:v>4013500</c:v>
                </c:pt>
                <c:pt idx="5">
                  <c:v>1304500</c:v>
                </c:pt>
                <c:pt idx="6">
                  <c:v>2040000</c:v>
                </c:pt>
                <c:pt idx="7">
                  <c:v>2193500</c:v>
                </c:pt>
                <c:pt idx="8">
                  <c:v>4219500</c:v>
                </c:pt>
                <c:pt idx="9">
                  <c:v>2615750</c:v>
                </c:pt>
                <c:pt idx="10">
                  <c:v>2811000</c:v>
                </c:pt>
                <c:pt idx="11">
                  <c:v>3896000</c:v>
                </c:pt>
              </c:numCache>
            </c:numRef>
          </c:val>
          <c:smooth val="0"/>
          <c:extLst>
            <c:ext xmlns:c16="http://schemas.microsoft.com/office/drawing/2014/chart" uri="{C3380CC4-5D6E-409C-BE32-E72D297353CC}">
              <c16:uniqueId val="{00000000-E4BA-42F8-84B9-630B85F1F4F6}"/>
            </c:ext>
          </c:extLst>
        </c:ser>
        <c:dLbls>
          <c:showLegendKey val="0"/>
          <c:showVal val="0"/>
          <c:showCatName val="0"/>
          <c:showSerName val="0"/>
          <c:showPercent val="0"/>
          <c:showBubbleSize val="0"/>
        </c:dLbls>
        <c:smooth val="0"/>
        <c:axId val="59137613"/>
        <c:axId val="934842066"/>
      </c:lineChart>
      <c:catAx>
        <c:axId val="5913761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934842066"/>
        <c:crosses val="autoZero"/>
        <c:auto val="1"/>
        <c:lblAlgn val="ctr"/>
        <c:lblOffset val="100"/>
        <c:noMultiLvlLbl val="0"/>
      </c:catAx>
      <c:valAx>
        <c:axId val="934842066"/>
        <c:scaling>
          <c:orientation val="minMax"/>
        </c:scaling>
        <c:delete val="0"/>
        <c:axPos val="l"/>
        <c:numFmt formatCode="\ #,##0,,&quot;M&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59137613"/>
        <c:crosses val="autoZero"/>
        <c:crossBetween val="between"/>
      </c:valAx>
      <c:spPr>
        <a:noFill/>
        <a:ln>
          <a:noFill/>
        </a:ln>
        <a:effectLst/>
      </c:spPr>
    </c:plotArea>
    <c:plotVisOnly val="1"/>
    <c:dispBlanksAs val="gap"/>
    <c:showDLblsOverMax val="0"/>
    <c:extLst>
      <c:ext uri="{0b15fc19-7d7d-44ad-8c2d-2c3a37ce22c3}">
        <chartProps xmlns="https://web.wps.cn/et/2018/main" chartId="{f2b3e35b-5f92-4c41-b3ce-9cc2328b3a1a}"/>
      </c:ext>
    </c:extLst>
  </c:chart>
  <c:spPr>
    <a:solidFill>
      <a:sysClr val="window" lastClr="FFFFFF"/>
    </a:solidFill>
    <a:ln w="9525" cap="flat" cmpd="sng" algn="ctr">
      <a:solidFill>
        <a:schemeClr val="tx1">
          <a:lumMod val="15000"/>
          <a:lumOff val="85000"/>
        </a:schemeClr>
      </a:solidFill>
      <a:round/>
    </a:ln>
    <a:effectLst>
      <a:outerShdw blurRad="50800" dist="38100" dir="2700000" algn="tl" rotWithShape="0">
        <a:schemeClr val="tx1">
          <a:alpha val="70000"/>
        </a:schemeClr>
      </a:outerShdw>
    </a:effectLst>
  </c:spPr>
  <c:txPr>
    <a:bodyPr/>
    <a:lstStyle/>
    <a:p>
      <a:pPr>
        <a:defRPr lang="en-US"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charts!Payment %</c:name>
    <c:fmtId val="0"/>
  </c:pivotSource>
  <c:chart>
    <c:title>
      <c:tx>
        <c:rich>
          <a:bodyPr rot="0" spcFirstLastPara="0" vertOverflow="ellipsis" vert="horz" wrap="square" anchor="ctr" anchorCtr="1"/>
          <a:lstStyle/>
          <a:p>
            <a:pPr defTabSz="914400">
              <a:defRPr lang="en-US" sz="1400" b="1" i="0" u="none" strike="noStrike" kern="1200" spc="0" baseline="0">
                <a:solidFill>
                  <a:schemeClr val="tx1"/>
                </a:solidFill>
                <a:latin typeface="+mn-lt"/>
                <a:ea typeface="+mn-ea"/>
                <a:cs typeface="+mn-cs"/>
              </a:defRPr>
            </a:pPr>
            <a:r>
              <a:rPr lang="en-US" b="1">
                <a:solidFill>
                  <a:schemeClr val="tx1"/>
                </a:solidFill>
              </a:rPr>
              <a:t>Payment Method Distribution</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1"/>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dLbl>
          <c:idx val="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dLbl>
          <c:idx val="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dLbl>
          <c:idx val="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dLbl>
          <c:idx val="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dLbl>
          <c:idx val="0"/>
          <c:spPr>
            <a:noFill/>
            <a:ln>
              <a:noFill/>
            </a:ln>
            <a:effectLst/>
          </c:spPr>
          <c:txPr>
            <a:bodyPr rot="0" spcFirstLastPara="0" vertOverflow="ellipsis" vert="horz" wrap="square" lIns="38100" tIns="19050" rIns="38100" bIns="19050"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extLst>
            <c:ext xmlns:c15="http://schemas.microsoft.com/office/drawing/2012/chart" uri="{CE6537A1-D6FC-4f65-9D91-7224C49458BB}">
              <c15:layout/>
            </c:ext>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'pivot and charts'!$B$52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4F3-4757-8FFC-CEBA4917FD0C}"/>
              </c:ext>
            </c:extLst>
          </c:dPt>
          <c:dPt>
            <c:idx val="1"/>
            <c:bubble3D val="0"/>
            <c:spPr>
              <a:solidFill>
                <a:schemeClr val="accent2"/>
              </a:solidFill>
              <a:ln>
                <a:noFill/>
              </a:ln>
              <a:effectLst/>
            </c:spPr>
            <c:extLst>
              <c:ext xmlns:c16="http://schemas.microsoft.com/office/drawing/2014/chart" uri="{C3380CC4-5D6E-409C-BE32-E72D297353CC}">
                <c16:uniqueId val="{00000003-24F3-4757-8FFC-CEBA4917FD0C}"/>
              </c:ext>
            </c:extLst>
          </c:dPt>
          <c:dPt>
            <c:idx val="2"/>
            <c:bubble3D val="0"/>
            <c:spPr>
              <a:solidFill>
                <a:schemeClr val="accent3"/>
              </a:solidFill>
              <a:ln>
                <a:noFill/>
              </a:ln>
              <a:effectLst/>
            </c:spPr>
            <c:extLst>
              <c:ext xmlns:c16="http://schemas.microsoft.com/office/drawing/2014/chart" uri="{C3380CC4-5D6E-409C-BE32-E72D297353CC}">
                <c16:uniqueId val="{00000005-24F3-4757-8FFC-CEBA4917FD0C}"/>
              </c:ext>
            </c:extLst>
          </c:dPt>
          <c:dPt>
            <c:idx val="3"/>
            <c:bubble3D val="0"/>
            <c:spPr>
              <a:solidFill>
                <a:schemeClr val="accent4"/>
              </a:solidFill>
              <a:ln>
                <a:noFill/>
              </a:ln>
              <a:effectLst/>
            </c:spPr>
            <c:extLst>
              <c:ext xmlns:c16="http://schemas.microsoft.com/office/drawing/2014/chart" uri="{C3380CC4-5D6E-409C-BE32-E72D297353CC}">
                <c16:uniqueId val="{00000007-24F3-4757-8FFC-CEBA4917FD0C}"/>
              </c:ext>
            </c:extLst>
          </c:dPt>
          <c:dPt>
            <c:idx val="4"/>
            <c:bubble3D val="0"/>
            <c:spPr>
              <a:solidFill>
                <a:schemeClr val="accent5"/>
              </a:solidFill>
              <a:ln>
                <a:noFill/>
              </a:ln>
              <a:effectLst/>
            </c:spPr>
            <c:extLst>
              <c:ext xmlns:c16="http://schemas.microsoft.com/office/drawing/2014/chart" uri="{C3380CC4-5D6E-409C-BE32-E72D297353CC}">
                <c16:uniqueId val="{00000009-24F3-4757-8FFC-CEBA4917FD0C}"/>
              </c:ext>
            </c:extLst>
          </c:dPt>
          <c:dPt>
            <c:idx val="5"/>
            <c:bubble3D val="0"/>
            <c:spPr>
              <a:solidFill>
                <a:schemeClr val="accent6"/>
              </a:solidFill>
              <a:ln>
                <a:noFill/>
              </a:ln>
              <a:effectLst/>
            </c:spPr>
            <c:extLst>
              <c:ext xmlns:c16="http://schemas.microsoft.com/office/drawing/2014/chart" uri="{C3380CC4-5D6E-409C-BE32-E72D297353CC}">
                <c16:uniqueId val="{0000000B-31A5-4E93-9C8F-1698D63F5607}"/>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and charts'!$A$53:$A$59</c:f>
              <c:strCache>
                <c:ptCount val="6"/>
                <c:pt idx="0">
                  <c:v>EasyPaisa</c:v>
                </c:pt>
                <c:pt idx="1">
                  <c:v>Bank Transfer</c:v>
                </c:pt>
                <c:pt idx="2">
                  <c:v>JazzCash</c:v>
                </c:pt>
                <c:pt idx="3">
                  <c:v>Credit Card</c:v>
                </c:pt>
                <c:pt idx="4">
                  <c:v>Cash</c:v>
                </c:pt>
                <c:pt idx="5">
                  <c:v>Debit Card</c:v>
                </c:pt>
              </c:strCache>
            </c:strRef>
          </c:cat>
          <c:val>
            <c:numRef>
              <c:f>'pivot and charts'!$B$53:$B$59</c:f>
              <c:numCache>
                <c:formatCode>0.00%</c:formatCode>
                <c:ptCount val="6"/>
                <c:pt idx="0">
                  <c:v>0.20224719101123595</c:v>
                </c:pt>
                <c:pt idx="1">
                  <c:v>0.19101123595505617</c:v>
                </c:pt>
                <c:pt idx="2">
                  <c:v>0.1797752808988764</c:v>
                </c:pt>
                <c:pt idx="3">
                  <c:v>0.15730337078651685</c:v>
                </c:pt>
                <c:pt idx="4">
                  <c:v>0.15730337078651685</c:v>
                </c:pt>
                <c:pt idx="5">
                  <c:v>0.11235955056179775</c:v>
                </c:pt>
              </c:numCache>
            </c:numRef>
          </c:val>
          <c:extLst>
            <c:ext xmlns:c16="http://schemas.microsoft.com/office/drawing/2014/chart" uri="{C3380CC4-5D6E-409C-BE32-E72D297353CC}">
              <c16:uniqueId val="{0000000A-24F3-4757-8FFC-CEBA4917FD0C}"/>
            </c:ext>
          </c:extLst>
        </c:ser>
        <c:dLbls>
          <c:showLegendKey val="0"/>
          <c:showVal val="0"/>
          <c:showCatName val="1"/>
          <c:showSerName val="0"/>
          <c:showPercent val="1"/>
          <c:showBubbleSize val="1"/>
          <c:showLeaderLines val="1"/>
        </c:dLbls>
        <c:firstSliceAng val="0"/>
      </c:pieChart>
      <c:spPr>
        <a:noFill/>
        <a:ln>
          <a:noFill/>
        </a:ln>
        <a:effectLst/>
      </c:spPr>
    </c:plotArea>
    <c:plotVisOnly val="1"/>
    <c:dispBlanksAs val="gap"/>
    <c:showDLblsOverMax val="0"/>
    <c:extLst>
      <c:ext uri="{0b15fc19-7d7d-44ad-8c2d-2c3a37ce22c3}">
        <chartProps xmlns="https://web.wps.cn/et/2018/main" chartId="{8704bae0-e8cb-4ad4-a205-55f09ca892bf}"/>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charts!Revenue by product</c:name>
    <c:fmtId val="0"/>
  </c:pivotSource>
  <c:chart>
    <c:title>
      <c:tx>
        <c:rich>
          <a:bodyPr rot="0" spcFirstLastPara="0" vertOverflow="ellipsis" vert="horz" wrap="square" anchor="ctr" anchorCtr="1"/>
          <a:lstStyle/>
          <a:p>
            <a:pPr defTabSz="914400">
              <a:defRPr lang="en-US"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Product Category</a:t>
            </a:r>
          </a:p>
        </c:rich>
      </c:tx>
      <c:layout>
        <c:manualLayout>
          <c:xMode val="edge"/>
          <c:yMode val="edge"/>
          <c:x val="0.24247996847497699"/>
          <c:y val="1.3714826200047299E-2"/>
        </c:manualLayout>
      </c:layout>
      <c:overlay val="0"/>
      <c:spPr>
        <a:noFill/>
        <a:ln>
          <a:noFill/>
        </a:ln>
        <a:effectLst>
          <a:glow rad="63500">
            <a:schemeClr val="accent1">
              <a:satMod val="175000"/>
              <a:alpha val="40000"/>
            </a:schemeClr>
          </a:glow>
          <a:softEdge rad="31750"/>
        </a:effectLst>
      </c:spPr>
      <c:txPr>
        <a:bodyPr rot="0" spcFirstLastPara="0" vertOverflow="ellipsis" vert="horz" wrap="square" anchor="ctr" anchorCtr="1"/>
        <a:lstStyle/>
        <a:p>
          <a:pPr defTabSz="91440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lumMod val="50000"/>
            </a:schemeClr>
          </a:solidFill>
          <a:ln>
            <a:noFill/>
          </a:ln>
          <a:effectLst>
            <a:outerShdw blurRad="50800" dist="38100" dir="2700000" algn="tl" rotWithShape="0">
              <a:prstClr val="black">
                <a:alpha val="40000"/>
              </a:prstClr>
            </a:outerShdw>
          </a:effectLst>
        </c:spPr>
        <c:marker>
          <c:symbol val="none"/>
        </c:marker>
      </c:pivotFmt>
    </c:pivotFmts>
    <c:plotArea>
      <c:layout>
        <c:manualLayout>
          <c:layoutTarget val="inner"/>
          <c:xMode val="edge"/>
          <c:yMode val="edge"/>
          <c:x val="0.11270135489654461"/>
          <c:y val="0.19904199429620203"/>
          <c:w val="0.88729864510345535"/>
          <c:h val="0.71489909624702908"/>
        </c:manualLayout>
      </c:layout>
      <c:barChart>
        <c:barDir val="col"/>
        <c:grouping val="clustered"/>
        <c:varyColors val="0"/>
        <c:ser>
          <c:idx val="0"/>
          <c:order val="0"/>
          <c:tx>
            <c:strRef>
              <c:f>'pivot and charts'!$B$69</c:f>
              <c:strCache>
                <c:ptCount val="1"/>
                <c:pt idx="0">
                  <c:v>Total</c:v>
                </c:pt>
              </c:strCache>
            </c:strRef>
          </c:tx>
          <c:spPr>
            <a:solidFill>
              <a:schemeClr val="tx2">
                <a:lumMod val="50000"/>
              </a:schemeClr>
            </a:solidFill>
            <a:ln>
              <a:noFill/>
            </a:ln>
            <a:effectLst>
              <a:outerShdw blurRad="50800" dist="38100" dir="2700000" algn="tl" rotWithShape="0">
                <a:prstClr val="black">
                  <a:alpha val="40000"/>
                </a:prstClr>
              </a:outerShdw>
            </a:effectLst>
          </c:spPr>
          <c:invertIfNegative val="0"/>
          <c:cat>
            <c:strRef>
              <c:f>'pivot and charts'!$A$70:$A$75</c:f>
              <c:strCache>
                <c:ptCount val="5"/>
                <c:pt idx="0">
                  <c:v>Laptop</c:v>
                </c:pt>
                <c:pt idx="1">
                  <c:v>Tablet</c:v>
                </c:pt>
                <c:pt idx="2">
                  <c:v>Mobile Phone</c:v>
                </c:pt>
                <c:pt idx="3">
                  <c:v>Smartwatch</c:v>
                </c:pt>
                <c:pt idx="4">
                  <c:v>Headphones</c:v>
                </c:pt>
              </c:strCache>
            </c:strRef>
          </c:cat>
          <c:val>
            <c:numRef>
              <c:f>'pivot and charts'!$B$70:$B$75</c:f>
              <c:numCache>
                <c:formatCode>General</c:formatCode>
                <c:ptCount val="5"/>
                <c:pt idx="0">
                  <c:v>22095750</c:v>
                </c:pt>
                <c:pt idx="1">
                  <c:v>4686500</c:v>
                </c:pt>
                <c:pt idx="2">
                  <c:v>4251250</c:v>
                </c:pt>
                <c:pt idx="3">
                  <c:v>1695750</c:v>
                </c:pt>
                <c:pt idx="4">
                  <c:v>592750</c:v>
                </c:pt>
              </c:numCache>
            </c:numRef>
          </c:val>
          <c:extLst>
            <c:ext xmlns:c16="http://schemas.microsoft.com/office/drawing/2014/chart" uri="{C3380CC4-5D6E-409C-BE32-E72D297353CC}">
              <c16:uniqueId val="{00000000-8488-43C8-9D6A-44F9C96458B5}"/>
            </c:ext>
          </c:extLst>
        </c:ser>
        <c:dLbls>
          <c:showLegendKey val="0"/>
          <c:showVal val="0"/>
          <c:showCatName val="0"/>
          <c:showSerName val="0"/>
          <c:showPercent val="0"/>
          <c:showBubbleSize val="0"/>
        </c:dLbls>
        <c:gapWidth val="219"/>
        <c:overlap val="-27"/>
        <c:axId val="645310934"/>
        <c:axId val="826331725"/>
      </c:barChart>
      <c:catAx>
        <c:axId val="64531093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826331725"/>
        <c:crosses val="autoZero"/>
        <c:auto val="1"/>
        <c:lblAlgn val="ctr"/>
        <c:lblOffset val="100"/>
        <c:noMultiLvlLbl val="0"/>
      </c:catAx>
      <c:valAx>
        <c:axId val="826331725"/>
        <c:scaling>
          <c:orientation val="minMax"/>
        </c:scaling>
        <c:delete val="0"/>
        <c:axPos val="l"/>
        <c:numFmt formatCode="#,##0,,&quot;M&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645310934"/>
        <c:crosses val="autoZero"/>
        <c:crossBetween val="between"/>
      </c:valAx>
      <c:spPr>
        <a:noFill/>
        <a:ln>
          <a:noFill/>
        </a:ln>
        <a:effectLst/>
      </c:spPr>
    </c:plotArea>
    <c:plotVisOnly val="1"/>
    <c:dispBlanksAs val="gap"/>
    <c:showDLblsOverMax val="0"/>
    <c:extLst>
      <c:ext uri="{0b15fc19-7d7d-44ad-8c2d-2c3a37ce22c3}">
        <chartProps xmlns="https://web.wps.cn/et/2018/main" chartId="{138a1ad1-a585-4eda-91af-f71069828956}"/>
      </c:ext>
    </c:extLst>
  </c:chart>
  <c:spPr>
    <a:solidFill>
      <a:schemeClr val="bg1"/>
    </a:solidFill>
    <a:ln w="9525" cap="flat" cmpd="sng" algn="ctr">
      <a:solidFill>
        <a:schemeClr val="tx1">
          <a:lumMod val="15000"/>
          <a:lumOff val="85000"/>
        </a:schemeClr>
      </a:solidFill>
      <a:round/>
    </a:ln>
    <a:effectLst/>
  </c:spPr>
  <c:txPr>
    <a:bodyPr/>
    <a:lstStyle/>
    <a:p>
      <a:pPr>
        <a:defRPr lang="en-US"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charts!Top Region</c:name>
    <c:fmtId val="0"/>
  </c:pivotSource>
  <c:chart>
    <c:title>
      <c:tx>
        <c:rich>
          <a:bodyPr rot="0" spcFirstLastPara="0" vertOverflow="ellipsis" vert="horz" wrap="square" anchor="ctr" anchorCtr="1"/>
          <a:lstStyle/>
          <a:p>
            <a:pPr defTabSz="914400">
              <a:defRPr lang="en-US" sz="1400" b="1" i="0" u="none" strike="noStrike" kern="1200" spc="0" baseline="0">
                <a:solidFill>
                  <a:sysClr val="windowText" lastClr="000000"/>
                </a:solidFill>
                <a:latin typeface="+mn-lt"/>
                <a:ea typeface="+mn-ea"/>
                <a:cs typeface="+mn-cs"/>
              </a:defRPr>
            </a:pPr>
            <a:r>
              <a:rPr lang="en-US" b="1">
                <a:solidFill>
                  <a:sysClr val="windowText" lastClr="000000"/>
                </a:solidFill>
              </a:rPr>
              <a:t>Top 5 Region by Revenue</a:t>
            </a:r>
          </a:p>
          <a:p>
            <a:pPr defTabSz="914400">
              <a:defRPr/>
            </a:pPr>
            <a:endParaRPr lang="en-US" b="1">
              <a:solidFill>
                <a:sysClr val="windowText" lastClr="000000"/>
              </a:solidFill>
            </a:endParaRPr>
          </a:p>
        </c:rich>
      </c:tx>
      <c:layout/>
      <c:overlay val="0"/>
      <c:spPr>
        <a:noFill/>
        <a:ln>
          <a:noFill/>
        </a:ln>
        <a:effectLst/>
      </c:spPr>
      <c:txPr>
        <a:bodyPr rot="0" spcFirstLastPara="0" vertOverflow="ellipsis" vert="horz" wrap="square" anchor="ctr" anchorCtr="1"/>
        <a:lstStyle/>
        <a:p>
          <a:pPr defTabSz="91440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tx2">
              <a:lumMod val="50000"/>
            </a:schemeClr>
          </a:solidFill>
          <a:ln>
            <a:noFill/>
          </a:ln>
          <a:effectLst/>
        </c:spPr>
        <c:marker>
          <c:symbol val="none"/>
        </c:marker>
      </c:pivotFmt>
    </c:pivotFmts>
    <c:plotArea>
      <c:layout/>
      <c:barChart>
        <c:barDir val="col"/>
        <c:grouping val="clustered"/>
        <c:varyColors val="0"/>
        <c:ser>
          <c:idx val="0"/>
          <c:order val="0"/>
          <c:tx>
            <c:strRef>
              <c:f>'pivot and charts'!$K$22</c:f>
              <c:strCache>
                <c:ptCount val="1"/>
                <c:pt idx="0">
                  <c:v>Total</c:v>
                </c:pt>
              </c:strCache>
            </c:strRef>
          </c:tx>
          <c:spPr>
            <a:solidFill>
              <a:schemeClr val="tx2">
                <a:lumMod val="50000"/>
              </a:schemeClr>
            </a:solidFill>
            <a:ln>
              <a:noFill/>
            </a:ln>
            <a:effectLst/>
          </c:spPr>
          <c:invertIfNegative val="0"/>
          <c:cat>
            <c:strRef>
              <c:f>'pivot and charts'!$J$23:$J$31</c:f>
              <c:strCache>
                <c:ptCount val="8"/>
                <c:pt idx="0">
                  <c:v>Lahore</c:v>
                </c:pt>
                <c:pt idx="1">
                  <c:v>Multan</c:v>
                </c:pt>
                <c:pt idx="2">
                  <c:v>Karachi</c:v>
                </c:pt>
                <c:pt idx="3">
                  <c:v>Islamabad</c:v>
                </c:pt>
                <c:pt idx="4">
                  <c:v>Rawalpindi</c:v>
                </c:pt>
                <c:pt idx="5">
                  <c:v>Faisalabad</c:v>
                </c:pt>
                <c:pt idx="6">
                  <c:v>Quetta</c:v>
                </c:pt>
                <c:pt idx="7">
                  <c:v>Peshawar</c:v>
                </c:pt>
              </c:strCache>
            </c:strRef>
          </c:cat>
          <c:val>
            <c:numRef>
              <c:f>'pivot and charts'!$K$23:$K$31</c:f>
              <c:numCache>
                <c:formatCode>General</c:formatCode>
                <c:ptCount val="8"/>
                <c:pt idx="0">
                  <c:v>5986250</c:v>
                </c:pt>
                <c:pt idx="1">
                  <c:v>4882500</c:v>
                </c:pt>
                <c:pt idx="2">
                  <c:v>4551000</c:v>
                </c:pt>
                <c:pt idx="3">
                  <c:v>4516000</c:v>
                </c:pt>
                <c:pt idx="4">
                  <c:v>4098500</c:v>
                </c:pt>
                <c:pt idx="5">
                  <c:v>3858500</c:v>
                </c:pt>
                <c:pt idx="6">
                  <c:v>2803250</c:v>
                </c:pt>
                <c:pt idx="7">
                  <c:v>2626000</c:v>
                </c:pt>
              </c:numCache>
            </c:numRef>
          </c:val>
          <c:extLst>
            <c:ext xmlns:c16="http://schemas.microsoft.com/office/drawing/2014/chart" uri="{C3380CC4-5D6E-409C-BE32-E72D297353CC}">
              <c16:uniqueId val="{00000000-B46F-4310-9204-2DF332163E65}"/>
            </c:ext>
          </c:extLst>
        </c:ser>
        <c:dLbls>
          <c:showLegendKey val="0"/>
          <c:showVal val="0"/>
          <c:showCatName val="0"/>
          <c:showSerName val="0"/>
          <c:showPercent val="0"/>
          <c:showBubbleSize val="0"/>
        </c:dLbls>
        <c:gapWidth val="219"/>
        <c:overlap val="-27"/>
        <c:axId val="347780563"/>
        <c:axId val="318017208"/>
      </c:barChart>
      <c:catAx>
        <c:axId val="3477805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318017208"/>
        <c:crosses val="autoZero"/>
        <c:auto val="1"/>
        <c:lblAlgn val="ctr"/>
        <c:lblOffset val="100"/>
        <c:noMultiLvlLbl val="0"/>
      </c:catAx>
      <c:valAx>
        <c:axId val="318017208"/>
        <c:scaling>
          <c:orientation val="minMax"/>
        </c:scaling>
        <c:delete val="0"/>
        <c:axPos val="l"/>
        <c:numFmt formatCode="#,##0,,&quot;M&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347780563"/>
        <c:crosses val="autoZero"/>
        <c:crossBetween val="between"/>
      </c:valAx>
      <c:spPr>
        <a:noFill/>
        <a:ln>
          <a:noFill/>
        </a:ln>
        <a:effectLst/>
      </c:spPr>
    </c:plotArea>
    <c:plotVisOnly val="1"/>
    <c:dispBlanksAs val="gap"/>
    <c:showDLblsOverMax val="0"/>
    <c:extLst>
      <c:ext uri="{0b15fc19-7d7d-44ad-8c2d-2c3a37ce22c3}">
        <chartProps xmlns="https://web.wps.cn/et/2018/main" chartId="{14ea905b-213c-4470-9420-66caa8a0d9f1}"/>
      </c:ext>
    </c:extLst>
  </c:chart>
  <c:spPr>
    <a:solidFill>
      <a:schemeClr val="bg1"/>
    </a:solidFill>
    <a:ln w="9525" cap="flat" cmpd="sng" algn="ctr">
      <a:solidFill>
        <a:schemeClr val="tx1">
          <a:lumMod val="15000"/>
          <a:lumOff val="85000"/>
        </a:schemeClr>
      </a:solidFill>
      <a:round/>
    </a:ln>
    <a:effectLst/>
  </c:spPr>
  <c:txPr>
    <a:bodyPr/>
    <a:lstStyle/>
    <a:p>
      <a:pPr>
        <a:defRPr lang="en-US"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charts!PivotTable6</c:name>
    <c:fmtId val="6"/>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800" b="1">
                <a:solidFill>
                  <a:sysClr val="windowText" lastClr="000000"/>
                </a:solidFill>
              </a:rPr>
              <a:t>Sales</a:t>
            </a:r>
            <a:r>
              <a:rPr lang="en-US" sz="1800" b="1" baseline="0">
                <a:solidFill>
                  <a:sysClr val="windowText" lastClr="000000"/>
                </a:solidFill>
              </a:rPr>
              <a:t> BY SalesPerson</a:t>
            </a:r>
            <a:endParaRPr lang="en-US" sz="180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tx2">
              <a:lumMod val="50000"/>
            </a:schemeClr>
          </a:solidFill>
          <a:ln>
            <a:noFill/>
          </a:ln>
          <a:effectLst>
            <a:outerShdw blurRad="50800" dist="38100" dir="2700000" algn="tl" rotWithShape="0">
              <a:prstClr val="black">
                <a:alpha val="40000"/>
              </a:prstClr>
            </a:outerShdw>
          </a:effectLst>
        </c:spPr>
        <c:marker>
          <c:symbol val="none"/>
        </c:marker>
      </c:pivotFmt>
    </c:pivotFmts>
    <c:plotArea>
      <c:layout/>
      <c:barChart>
        <c:barDir val="bar"/>
        <c:grouping val="clustered"/>
        <c:varyColors val="0"/>
        <c:ser>
          <c:idx val="0"/>
          <c:order val="0"/>
          <c:tx>
            <c:strRef>
              <c:f>'pivot and charts'!$L$58</c:f>
              <c:strCache>
                <c:ptCount val="1"/>
                <c:pt idx="0">
                  <c:v>Total</c:v>
                </c:pt>
              </c:strCache>
            </c:strRef>
          </c:tx>
          <c:spPr>
            <a:solidFill>
              <a:schemeClr val="tx2">
                <a:lumMod val="50000"/>
              </a:schemeClr>
            </a:solidFill>
            <a:ln>
              <a:noFill/>
            </a:ln>
            <a:effectLst>
              <a:outerShdw blurRad="50800" dist="38100" dir="2700000" algn="tl" rotWithShape="0">
                <a:prstClr val="black">
                  <a:alpha val="40000"/>
                </a:prstClr>
              </a:outerShdw>
            </a:effectLst>
          </c:spPr>
          <c:invertIfNegative val="0"/>
          <c:cat>
            <c:strRef>
              <c:f>'pivot and charts'!$K$59:$K$69</c:f>
              <c:strCache>
                <c:ptCount val="10"/>
                <c:pt idx="0">
                  <c:v>Ahmed Ali</c:v>
                </c:pt>
                <c:pt idx="1">
                  <c:v>Ayesha Siddiqui</c:v>
                </c:pt>
                <c:pt idx="2">
                  <c:v>Bilal Hussain</c:v>
                </c:pt>
                <c:pt idx="3">
                  <c:v>Fatima Malik</c:v>
                </c:pt>
                <c:pt idx="4">
                  <c:v>Hassan Mirza</c:v>
                </c:pt>
                <c:pt idx="5">
                  <c:v>Kamran Sheikh</c:v>
                </c:pt>
                <c:pt idx="6">
                  <c:v>Nadia Iqbal</c:v>
                </c:pt>
                <c:pt idx="7">
                  <c:v>Sara Khan</c:v>
                </c:pt>
                <c:pt idx="8">
                  <c:v>Usman Raza</c:v>
                </c:pt>
                <c:pt idx="9">
                  <c:v>Zara Butt</c:v>
                </c:pt>
              </c:strCache>
            </c:strRef>
          </c:cat>
          <c:val>
            <c:numRef>
              <c:f>'pivot and charts'!$L$59:$L$69</c:f>
              <c:numCache>
                <c:formatCode>General</c:formatCode>
                <c:ptCount val="10"/>
                <c:pt idx="0">
                  <c:v>2053250</c:v>
                </c:pt>
                <c:pt idx="1">
                  <c:v>4581500</c:v>
                </c:pt>
                <c:pt idx="2">
                  <c:v>6373000</c:v>
                </c:pt>
                <c:pt idx="3">
                  <c:v>4111250</c:v>
                </c:pt>
                <c:pt idx="4">
                  <c:v>1099000</c:v>
                </c:pt>
                <c:pt idx="5">
                  <c:v>1004750</c:v>
                </c:pt>
                <c:pt idx="6">
                  <c:v>4337750</c:v>
                </c:pt>
                <c:pt idx="7">
                  <c:v>4315500</c:v>
                </c:pt>
                <c:pt idx="8">
                  <c:v>2618000</c:v>
                </c:pt>
                <c:pt idx="9">
                  <c:v>2828000</c:v>
                </c:pt>
              </c:numCache>
            </c:numRef>
          </c:val>
          <c:extLst>
            <c:ext xmlns:c16="http://schemas.microsoft.com/office/drawing/2014/chart" uri="{C3380CC4-5D6E-409C-BE32-E72D297353CC}">
              <c16:uniqueId val="{00000000-8133-4B3F-8AE5-BE7262A57254}"/>
            </c:ext>
          </c:extLst>
        </c:ser>
        <c:dLbls>
          <c:showLegendKey val="0"/>
          <c:showVal val="0"/>
          <c:showCatName val="0"/>
          <c:showSerName val="0"/>
          <c:showPercent val="0"/>
          <c:showBubbleSize val="0"/>
        </c:dLbls>
        <c:gapWidth val="182"/>
        <c:axId val="286358384"/>
        <c:axId val="286360024"/>
      </c:barChart>
      <c:catAx>
        <c:axId val="286358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286360024"/>
        <c:crosses val="autoZero"/>
        <c:auto val="1"/>
        <c:lblAlgn val="ctr"/>
        <c:lblOffset val="100"/>
        <c:noMultiLvlLbl val="0"/>
      </c:catAx>
      <c:valAx>
        <c:axId val="286360024"/>
        <c:scaling>
          <c:orientation val="minMax"/>
        </c:scaling>
        <c:delete val="0"/>
        <c:axPos val="b"/>
        <c:numFmt formatCode="#,##0,,&quot;M&quot;" sourceLinked="0"/>
        <c:majorTickMark val="none"/>
        <c:minorTickMark val="none"/>
        <c:tickLblPos val="nextTo"/>
        <c:spPr>
          <a:noFill/>
          <a:ln>
            <a:noFill/>
          </a:ln>
          <a:effectLst>
            <a:outerShdw blurRad="50800" dist="50800" dir="5400000" sx="3000" sy="3000" algn="ctr" rotWithShape="0">
              <a:srgbClr val="000000">
                <a:alpha val="43137"/>
              </a:srgbClr>
            </a:outerShdw>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86358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a:t>
            </a:r>
            <a:r>
              <a:rPr lang="en-US" b="1" baseline="0">
                <a:solidFill>
                  <a:sysClr val="windowText" lastClr="000000"/>
                </a:solidFill>
              </a:rPr>
              <a:t> Type</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tx2">
              <a:lumMod val="50000"/>
            </a:schemeClr>
          </a:solidFill>
          <a:ln w="19050">
            <a:solidFill>
              <a:schemeClr val="lt1"/>
            </a:solidFill>
          </a:ln>
          <a:effectLst/>
        </c:spPr>
        <c:dLbl>
          <c:idx val="0"/>
          <c:layout>
            <c:manualLayout>
              <c:x val="6.9985598763928764E-2"/>
              <c:y val="-1.3888888888888888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pivotFmt>
    </c:pivotFmts>
    <c:plotArea>
      <c:layout/>
      <c:doughnutChart>
        <c:varyColors val="1"/>
        <c:ser>
          <c:idx val="0"/>
          <c:order val="0"/>
          <c:tx>
            <c:strRef>
              <c:f>'pivot and charts'!$I$90</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6-EDE8-4F76-AD9D-105D70A2601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B-EDE8-4F76-AD9D-105D70A2601F}"/>
              </c:ext>
            </c:extLst>
          </c:dPt>
          <c:dLbls>
            <c:dLbl>
              <c:idx val="0"/>
              <c:layout>
                <c:manualLayout>
                  <c:x val="6.9985598763928764E-2"/>
                  <c:y val="-1.388888888888888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EDE8-4F76-AD9D-105D70A2601F}"/>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and charts'!$H$91:$H$93</c:f>
              <c:strCache>
                <c:ptCount val="2"/>
                <c:pt idx="0">
                  <c:v>New</c:v>
                </c:pt>
                <c:pt idx="1">
                  <c:v>Returning</c:v>
                </c:pt>
              </c:strCache>
            </c:strRef>
          </c:cat>
          <c:val>
            <c:numRef>
              <c:f>'pivot and charts'!$I$91:$I$93</c:f>
              <c:numCache>
                <c:formatCode>General</c:formatCode>
                <c:ptCount val="2"/>
                <c:pt idx="0">
                  <c:v>17503000</c:v>
                </c:pt>
                <c:pt idx="1">
                  <c:v>15819000</c:v>
                </c:pt>
              </c:numCache>
            </c:numRef>
          </c:val>
          <c:extLst>
            <c:ext xmlns:c16="http://schemas.microsoft.com/office/drawing/2014/chart" uri="{C3380CC4-5D6E-409C-BE32-E72D297353CC}">
              <c16:uniqueId val="{00000000-EDE8-4F76-AD9D-105D70A260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charts!Month vs Revenue</c:name>
    <c:fmtId val="6"/>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tx2">
                <a:lumMod val="50000"/>
              </a:schemeClr>
            </a:solidFill>
            <a:round/>
          </a:ln>
          <a:effectLst/>
        </c:spPr>
        <c:marker>
          <c:spPr>
            <a:solidFill>
              <a:schemeClr val="accent1"/>
            </a:solidFill>
            <a:ln w="9525" cap="flat" cmpd="sng" algn="ctr">
              <a:solidFill>
                <a:schemeClr val="accent1"/>
              </a:solidFill>
              <a:round/>
            </a:ln>
            <a:effectLst/>
          </c:spPr>
        </c:marker>
      </c:pivotFmt>
      <c:pivotFmt>
        <c:idx val="8"/>
        <c:spPr>
          <a:ln w="22225" cap="rnd" cmpd="sng" algn="ctr">
            <a:solidFill>
              <a:schemeClr val="tx2">
                <a:lumMod val="50000"/>
              </a:schemeClr>
            </a:solidFill>
            <a:round/>
          </a:ln>
          <a:effectLst/>
        </c:spPr>
        <c:marker>
          <c:symbol val="circle"/>
          <c:size val="4"/>
          <c:spPr>
            <a:solidFill>
              <a:schemeClr val="accent5">
                <a:lumMod val="75000"/>
              </a:schemeClr>
            </a:solidFill>
            <a:ln w="44450" cap="flat" cmpd="sng" algn="ctr">
              <a:solidFill>
                <a:schemeClr val="accent6">
                  <a:lumMod val="75000"/>
                </a:schemeClr>
              </a:solidFill>
              <a:round/>
            </a:ln>
            <a:effectLst/>
          </c:spPr>
        </c:marker>
      </c:pivotFmt>
    </c:pivotFmts>
    <c:plotArea>
      <c:layout>
        <c:manualLayout>
          <c:layoutTarget val="inner"/>
          <c:xMode val="edge"/>
          <c:yMode val="edge"/>
          <c:x val="5.6136293615320992E-2"/>
          <c:y val="5.358573978361901E-2"/>
          <c:w val="0.89826635145784095"/>
          <c:h val="0.69037789354465107"/>
        </c:manualLayout>
      </c:layout>
      <c:lineChart>
        <c:grouping val="stacked"/>
        <c:varyColors val="0"/>
        <c:ser>
          <c:idx val="0"/>
          <c:order val="0"/>
          <c:tx>
            <c:strRef>
              <c:f>'pivot and charts'!$B$31</c:f>
              <c:strCache>
                <c:ptCount val="1"/>
                <c:pt idx="0">
                  <c:v>Total</c:v>
                </c:pt>
              </c:strCache>
            </c:strRef>
          </c:tx>
          <c:spPr>
            <a:ln w="22225" cap="rnd" cmpd="sng" algn="ctr">
              <a:solidFill>
                <a:schemeClr val="tx2">
                  <a:lumMod val="50000"/>
                </a:schemeClr>
              </a:solidFill>
              <a:round/>
            </a:ln>
            <a:effectLst/>
          </c:spPr>
          <c:marker>
            <c:symbol val="circle"/>
            <c:size val="4"/>
            <c:spPr>
              <a:solidFill>
                <a:schemeClr val="accent5">
                  <a:lumMod val="75000"/>
                </a:schemeClr>
              </a:solidFill>
              <a:ln w="44450" cap="flat" cmpd="sng" algn="ctr">
                <a:solidFill>
                  <a:schemeClr val="accent6">
                    <a:lumMod val="75000"/>
                  </a:schemeClr>
                </a:solidFill>
                <a:round/>
              </a:ln>
              <a:effectLst/>
            </c:spPr>
          </c:marker>
          <c:cat>
            <c:strRef>
              <c:f>'pivot and charts'!$A$32:$A$44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and charts'!$B$32:$B$44</c:f>
              <c:numCache>
                <c:formatCode>General</c:formatCode>
                <c:ptCount val="12"/>
                <c:pt idx="0">
                  <c:v>1320000</c:v>
                </c:pt>
                <c:pt idx="1">
                  <c:v>1092750</c:v>
                </c:pt>
                <c:pt idx="2">
                  <c:v>4213000</c:v>
                </c:pt>
                <c:pt idx="3">
                  <c:v>3602500</c:v>
                </c:pt>
                <c:pt idx="4">
                  <c:v>4013500</c:v>
                </c:pt>
                <c:pt idx="5">
                  <c:v>1304500</c:v>
                </c:pt>
                <c:pt idx="6">
                  <c:v>2040000</c:v>
                </c:pt>
                <c:pt idx="7">
                  <c:v>2193500</c:v>
                </c:pt>
                <c:pt idx="8">
                  <c:v>4219500</c:v>
                </c:pt>
                <c:pt idx="9">
                  <c:v>2615750</c:v>
                </c:pt>
                <c:pt idx="10">
                  <c:v>2811000</c:v>
                </c:pt>
                <c:pt idx="11">
                  <c:v>3896000</c:v>
                </c:pt>
              </c:numCache>
            </c:numRef>
          </c:val>
          <c:smooth val="1"/>
          <c:extLst>
            <c:ext xmlns:c16="http://schemas.microsoft.com/office/drawing/2014/chart" uri="{C3380CC4-5D6E-409C-BE32-E72D297353CC}">
              <c16:uniqueId val="{00000000-E88D-493B-A133-CB57B21773A4}"/>
            </c:ext>
          </c:extLst>
        </c:ser>
        <c:dLbls>
          <c:showLegendKey val="0"/>
          <c:showVal val="0"/>
          <c:showCatName val="0"/>
          <c:showSerName val="0"/>
          <c:showPercent val="0"/>
          <c:showBubbleSize val="0"/>
        </c:dLbls>
        <c:marker val="1"/>
        <c:smooth val="0"/>
        <c:axId val="59137613"/>
        <c:axId val="934842066"/>
      </c:lineChart>
      <c:catAx>
        <c:axId val="59137613"/>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934842066"/>
        <c:crosses val="autoZero"/>
        <c:auto val="1"/>
        <c:lblAlgn val="ctr"/>
        <c:lblOffset val="100"/>
        <c:noMultiLvlLbl val="0"/>
      </c:catAx>
      <c:valAx>
        <c:axId val="934842066"/>
        <c:scaling>
          <c:orientation val="minMax"/>
        </c:scaling>
        <c:delete val="0"/>
        <c:axPos val="l"/>
        <c:numFmt formatCode="\ #,##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59137613"/>
        <c:crosses val="autoZero"/>
        <c:crossBetween val="between"/>
        <c:majorUnit val="1000000"/>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uri="{0b15fc19-7d7d-44ad-8c2d-2c3a37ce22c3}">
        <chartProps xmlns="https://web.wps.cn/et/2018/main" chartId="{f2b3e35b-5f92-4c41-b3ce-9cc2328b3a1a}"/>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solidFill>
                <a:latin typeface="+mn-lt"/>
                <a:ea typeface="+mn-ea"/>
                <a:cs typeface="+mn-cs"/>
              </a:defRPr>
            </a:pPr>
            <a:r>
              <a:rPr lang="en-US" b="1">
                <a:solidFill>
                  <a:schemeClr val="tx1"/>
                </a:solidFill>
              </a:rPr>
              <a:t>Top 5 Region By Revenue</a:t>
            </a:r>
          </a:p>
        </c:rich>
      </c:tx>
      <c:layout>
        <c:manualLayout>
          <c:xMode val="edge"/>
          <c:yMode val="edge"/>
          <c:x val="0.60021055402026602"/>
          <c:y val="7.51691305437234E-3"/>
        </c:manualLayout>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9.7973684210526296E-2"/>
          <c:y val="0.24110073213834901"/>
          <c:w val="0.89807894736842098"/>
          <c:h val="0.684776571572835"/>
        </c:manualLayout>
      </c:layout>
      <c:barChart>
        <c:barDir val="col"/>
        <c:grouping val="clustered"/>
        <c:varyColors val="0"/>
        <c:ser>
          <c:idx val="0"/>
          <c:order val="0"/>
          <c:tx>
            <c:v>Total</c:v>
          </c:tx>
          <c:spPr>
            <a:solidFill>
              <a:schemeClr val="tx2">
                <a:lumMod val="75000"/>
              </a:schemeClr>
            </a:solidFill>
            <a:ln>
              <a:noFill/>
            </a:ln>
            <a:effectLst>
              <a:outerShdw blurRad="50800" dist="38100" dir="2700000" algn="tl" rotWithShape="0">
                <a:prstClr val="black">
                  <a:alpha val="40000"/>
                </a:prstClr>
              </a:outerShdw>
            </a:effectLst>
          </c:spPr>
          <c:invertIfNegative val="0"/>
          <c:cat>
            <c:strLit>
              <c:ptCount val="8"/>
              <c:pt idx="0">
                <c:v>Lahore</c:v>
              </c:pt>
              <c:pt idx="1">
                <c:v>Multan</c:v>
              </c:pt>
              <c:pt idx="2">
                <c:v>Karachi</c:v>
              </c:pt>
              <c:pt idx="3">
                <c:v>Islamabad</c:v>
              </c:pt>
              <c:pt idx="4">
                <c:v>Rawalpindi</c:v>
              </c:pt>
              <c:pt idx="5">
                <c:v>Faisalabad</c:v>
              </c:pt>
              <c:pt idx="6">
                <c:v>Quetta</c:v>
              </c:pt>
              <c:pt idx="7">
                <c:v>Peshawar</c:v>
              </c:pt>
            </c:strLit>
          </c:cat>
          <c:val>
            <c:numLit>
              <c:formatCode>General</c:formatCode>
              <c:ptCount val="8"/>
              <c:pt idx="0">
                <c:v>5986250</c:v>
              </c:pt>
              <c:pt idx="1">
                <c:v>4882500</c:v>
              </c:pt>
              <c:pt idx="2">
                <c:v>4551000</c:v>
              </c:pt>
              <c:pt idx="3">
                <c:v>4516000</c:v>
              </c:pt>
              <c:pt idx="4">
                <c:v>4098500</c:v>
              </c:pt>
              <c:pt idx="5">
                <c:v>3858500</c:v>
              </c:pt>
              <c:pt idx="6">
                <c:v>2803250</c:v>
              </c:pt>
              <c:pt idx="7">
                <c:v>2626000</c:v>
              </c:pt>
            </c:numLit>
          </c:val>
          <c:extLst>
            <c:ext xmlns:c16="http://schemas.microsoft.com/office/drawing/2014/chart" uri="{C3380CC4-5D6E-409C-BE32-E72D297353CC}">
              <c16:uniqueId val="{00000000-8615-4068-9A42-192D0BF48DBB}"/>
            </c:ext>
          </c:extLst>
        </c:ser>
        <c:dLbls>
          <c:showLegendKey val="0"/>
          <c:showVal val="0"/>
          <c:showCatName val="0"/>
          <c:showSerName val="0"/>
          <c:showPercent val="0"/>
          <c:showBubbleSize val="0"/>
        </c:dLbls>
        <c:gapWidth val="246"/>
        <c:overlap val="-28"/>
        <c:axId val="491911510"/>
        <c:axId val="600487488"/>
      </c:barChart>
      <c:catAx>
        <c:axId val="49191151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600487488"/>
        <c:crosses val="autoZero"/>
        <c:auto val="1"/>
        <c:lblAlgn val="ctr"/>
        <c:lblOffset val="100"/>
        <c:noMultiLvlLbl val="0"/>
      </c:catAx>
      <c:valAx>
        <c:axId val="600487488"/>
        <c:scaling>
          <c:orientation val="minMax"/>
        </c:scaling>
        <c:delete val="0"/>
        <c:axPos val="l"/>
        <c:numFmt formatCode="\ #,##0,,&quot;M&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crossAx val="491911510"/>
        <c:crosses val="autoZero"/>
        <c:crossBetween val="between"/>
      </c:valAx>
      <c:spPr>
        <a:noFill/>
        <a:ln>
          <a:noFill/>
        </a:ln>
        <a:effectLst/>
      </c:spPr>
    </c:plotArea>
    <c:plotVisOnly val="1"/>
    <c:dispBlanksAs val="gap"/>
    <c:showDLblsOverMax val="0"/>
    <c:extLst>
      <c:ext uri="{0b15fc19-7d7d-44ad-8c2d-2c3a37ce22c3}">
        <chartProps xmlns="https://web.wps.cn/et/2018/main" chartId="{c73f0e3f-28c3-4bb7-92b6-5634b4f1007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b="1"/>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charts!Revenue by product</c:name>
    <c:fmtId val="8"/>
  </c:pivotSource>
  <c:chart>
    <c:autoTitleDeleted val="1"/>
    <c:pivotFmts>
      <c:pivotFmt>
        <c:idx val="0"/>
        <c:spPr>
          <a:solidFill>
            <a:schemeClr val="tx2">
              <a:lumMod val="50000"/>
            </a:schemeClr>
          </a:solidFill>
          <a:ln>
            <a:noFill/>
          </a:ln>
          <a:effectLst>
            <a:outerShdw blurRad="50800" dist="38100" dir="2700000" algn="tl" rotWithShape="0">
              <a:prstClr val="black">
                <a:alpha val="40000"/>
              </a:prstClr>
            </a:outerShdw>
          </a:effectLst>
        </c:spPr>
        <c:marker>
          <c:symbol val="none"/>
        </c:marker>
      </c:pivotFmt>
      <c:pivotFmt>
        <c:idx val="1"/>
        <c:spPr>
          <a:solidFill>
            <a:schemeClr val="tx2">
              <a:lumMod val="50000"/>
            </a:schemeClr>
          </a:solidFill>
          <a:ln>
            <a:noFill/>
          </a:ln>
          <a:effectLst>
            <a:outerShdw blurRad="50800" dist="38100" dir="2700000" algn="tl" rotWithShape="0">
              <a:prstClr val="black">
                <a:alpha val="40000"/>
              </a:prstClr>
            </a:outerShdw>
          </a:effectLst>
        </c:spPr>
        <c:marker>
          <c:symbol val="none"/>
        </c:marker>
      </c:pivotFmt>
      <c:pivotFmt>
        <c:idx val="2"/>
        <c:spPr>
          <a:solidFill>
            <a:schemeClr val="tx2">
              <a:lumMod val="50000"/>
            </a:schemeClr>
          </a:solidFill>
          <a:ln>
            <a:noFill/>
          </a:ln>
          <a:effectLst>
            <a:outerShdw blurRad="50800" dist="38100" dir="2700000" algn="tl" rotWithShape="0">
              <a:prstClr val="black">
                <a:alpha val="40000"/>
              </a:prstClr>
            </a:outerShdw>
          </a:effectLst>
        </c:spPr>
        <c:marker>
          <c:symbol val="none"/>
        </c:marker>
      </c:pivotFmt>
      <c:pivotFmt>
        <c:idx val="3"/>
        <c:spPr>
          <a:solidFill>
            <a:schemeClr val="tx2">
              <a:lumMod val="50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7.99694657632012E-2"/>
          <c:y val="8.690957420131401E-2"/>
          <c:w val="0.81782889738856457"/>
          <c:h val="0.73818530455713771"/>
        </c:manualLayout>
      </c:layout>
      <c:barChart>
        <c:barDir val="col"/>
        <c:grouping val="clustered"/>
        <c:varyColors val="0"/>
        <c:ser>
          <c:idx val="0"/>
          <c:order val="0"/>
          <c:tx>
            <c:strRef>
              <c:f>'pivot and charts'!$B$69</c:f>
              <c:strCache>
                <c:ptCount val="1"/>
                <c:pt idx="0">
                  <c:v>Total</c:v>
                </c:pt>
              </c:strCache>
            </c:strRef>
          </c:tx>
          <c:spPr>
            <a:solidFill>
              <a:schemeClr val="tx2">
                <a:lumMod val="5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tx2">
                  <a:lumMod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1227-43C0-99C9-6A7FBA505251}"/>
              </c:ext>
            </c:extLst>
          </c:dPt>
          <c:cat>
            <c:strRef>
              <c:f>'pivot and charts'!$A$70:$A$75</c:f>
              <c:strCache>
                <c:ptCount val="5"/>
                <c:pt idx="0">
                  <c:v>Laptop</c:v>
                </c:pt>
                <c:pt idx="1">
                  <c:v>Tablet</c:v>
                </c:pt>
                <c:pt idx="2">
                  <c:v>Mobile Phone</c:v>
                </c:pt>
                <c:pt idx="3">
                  <c:v>Smartwatch</c:v>
                </c:pt>
                <c:pt idx="4">
                  <c:v>Headphones</c:v>
                </c:pt>
              </c:strCache>
            </c:strRef>
          </c:cat>
          <c:val>
            <c:numRef>
              <c:f>'pivot and charts'!$B$70:$B$75</c:f>
              <c:numCache>
                <c:formatCode>General</c:formatCode>
                <c:ptCount val="5"/>
                <c:pt idx="0">
                  <c:v>22095750</c:v>
                </c:pt>
                <c:pt idx="1">
                  <c:v>4686500</c:v>
                </c:pt>
                <c:pt idx="2">
                  <c:v>4251250</c:v>
                </c:pt>
                <c:pt idx="3">
                  <c:v>1695750</c:v>
                </c:pt>
                <c:pt idx="4">
                  <c:v>592750</c:v>
                </c:pt>
              </c:numCache>
            </c:numRef>
          </c:val>
          <c:extLst>
            <c:ext xmlns:c16="http://schemas.microsoft.com/office/drawing/2014/chart" uri="{C3380CC4-5D6E-409C-BE32-E72D297353CC}">
              <c16:uniqueId val="{00000000-1227-43C0-99C9-6A7FBA505251}"/>
            </c:ext>
          </c:extLst>
        </c:ser>
        <c:dLbls>
          <c:showLegendKey val="0"/>
          <c:showVal val="0"/>
          <c:showCatName val="0"/>
          <c:showSerName val="0"/>
          <c:showPercent val="0"/>
          <c:showBubbleSize val="0"/>
        </c:dLbls>
        <c:gapWidth val="219"/>
        <c:overlap val="-27"/>
        <c:axId val="645310934"/>
        <c:axId val="826331725"/>
      </c:barChart>
      <c:catAx>
        <c:axId val="64531093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826331725"/>
        <c:crosses val="autoZero"/>
        <c:auto val="1"/>
        <c:lblAlgn val="ctr"/>
        <c:lblOffset val="100"/>
        <c:noMultiLvlLbl val="0"/>
      </c:catAx>
      <c:valAx>
        <c:axId val="826331725"/>
        <c:scaling>
          <c:orientation val="minMax"/>
        </c:scaling>
        <c:delete val="0"/>
        <c:axPos val="l"/>
        <c:numFmt formatCode="#,##0,,&quot;M&quot;" sourceLinked="0"/>
        <c:majorTickMark val="none"/>
        <c:minorTickMark val="none"/>
        <c:tickLblPos val="nextTo"/>
        <c:spPr>
          <a:noFill/>
          <a:ln>
            <a:noFill/>
          </a:ln>
          <a:effectLst/>
        </c:spPr>
        <c:txPr>
          <a:bodyPr rot="-60000000" spcFirstLastPara="0" vertOverflow="ellipsis" vert="horz" wrap="square" anchor="ctr" anchorCtr="1"/>
          <a:lstStyle/>
          <a:p>
            <a:pPr>
              <a:defRPr lang="en-US" sz="900" b="1" i="0" u="none" strike="noStrike" kern="1200" baseline="0">
                <a:solidFill>
                  <a:sysClr val="windowText" lastClr="000000"/>
                </a:solidFill>
                <a:latin typeface="+mn-lt"/>
                <a:ea typeface="+mn-ea"/>
                <a:cs typeface="+mn-cs"/>
              </a:defRPr>
            </a:pPr>
            <a:endParaRPr lang="en-US"/>
          </a:p>
        </c:txPr>
        <c:crossAx val="645310934"/>
        <c:crosses val="autoZero"/>
        <c:crossBetween val="between"/>
      </c:valAx>
      <c:spPr>
        <a:noFill/>
        <a:ln>
          <a:noFill/>
        </a:ln>
        <a:effectLst/>
      </c:spPr>
    </c:plotArea>
    <c:plotVisOnly val="1"/>
    <c:dispBlanksAs val="gap"/>
    <c:showDLblsOverMax val="0"/>
    <c:extLst>
      <c:ext uri="{0b15fc19-7d7d-44ad-8c2d-2c3a37ce22c3}">
        <chartProps xmlns="https://web.wps.cn/et/2018/main" chartId="{138a1ad1-a585-4eda-91af-f71069828956}"/>
      </c:ext>
    </c:extLst>
  </c:chart>
  <c:spPr>
    <a:solidFill>
      <a:schemeClr val="bg1"/>
    </a:solidFill>
    <a:ln w="9525" cap="flat" cmpd="sng" algn="ctr">
      <a:noFill/>
      <a:round/>
    </a:ln>
    <a:effectLst/>
  </c:spPr>
  <c:txPr>
    <a:bodyPr/>
    <a:lstStyle/>
    <a:p>
      <a:pPr>
        <a:defRPr lang="en-US"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charts!Top Region</c:name>
    <c:fmtId val="9"/>
  </c:pivotSource>
  <c:chart>
    <c:autoTitleDeleted val="1"/>
    <c:pivotFmts>
      <c:pivotFmt>
        <c:idx val="0"/>
      </c:pivotFmt>
      <c:pivotFmt>
        <c:idx val="1"/>
      </c:pivotFmt>
      <c:pivotFmt>
        <c:idx val="2"/>
      </c:pivotFmt>
      <c:pivotFmt>
        <c:idx val="3"/>
      </c:pivotFmt>
      <c:pivotFmt>
        <c:idx val="4"/>
        <c:spPr>
          <a:solidFill>
            <a:schemeClr val="tx2">
              <a:lumMod val="50000"/>
            </a:schemeClr>
          </a:solidFill>
          <a:ln>
            <a:noFill/>
          </a:ln>
          <a:effectLst/>
        </c:spPr>
      </c:pivotFmt>
      <c:pivotFmt>
        <c:idx val="5"/>
        <c:spPr>
          <a:solidFill>
            <a:schemeClr val="tx2">
              <a:lumMod val="50000"/>
            </a:schemeClr>
          </a:solidFill>
          <a:ln>
            <a:noFill/>
          </a:ln>
          <a:effectLst/>
        </c:spPr>
        <c:marker>
          <c:symbol val="none"/>
        </c:marker>
      </c:pivotFmt>
    </c:pivotFmts>
    <c:plotArea>
      <c:layout>
        <c:manualLayout>
          <c:layoutTarget val="inner"/>
          <c:xMode val="edge"/>
          <c:yMode val="edge"/>
          <c:x val="7.1510585531732923E-2"/>
          <c:y val="0.1119779622429443"/>
          <c:w val="0.92065109971102932"/>
          <c:h val="0.74151461019750731"/>
        </c:manualLayout>
      </c:layout>
      <c:barChart>
        <c:barDir val="col"/>
        <c:grouping val="clustered"/>
        <c:varyColors val="0"/>
        <c:ser>
          <c:idx val="0"/>
          <c:order val="0"/>
          <c:tx>
            <c:strRef>
              <c:f>'pivot and charts'!$K$22</c:f>
              <c:strCache>
                <c:ptCount val="1"/>
                <c:pt idx="0">
                  <c:v>Total</c:v>
                </c:pt>
              </c:strCache>
            </c:strRef>
          </c:tx>
          <c:spPr>
            <a:solidFill>
              <a:schemeClr val="tx2">
                <a:lumMod val="50000"/>
              </a:schemeClr>
            </a:solidFill>
            <a:ln>
              <a:noFill/>
            </a:ln>
            <a:effectLst/>
          </c:spPr>
          <c:invertIfNegative val="0"/>
          <c:dPt>
            <c:idx val="0"/>
            <c:invertIfNegative val="0"/>
            <c:bubble3D val="0"/>
            <c:spPr>
              <a:solidFill>
                <a:schemeClr val="tx2">
                  <a:lumMod val="50000"/>
                </a:schemeClr>
              </a:solidFill>
              <a:ln>
                <a:noFill/>
              </a:ln>
              <a:effectLst/>
            </c:spPr>
            <c:extLst>
              <c:ext xmlns:c16="http://schemas.microsoft.com/office/drawing/2014/chart" uri="{C3380CC4-5D6E-409C-BE32-E72D297353CC}">
                <c16:uniqueId val="{00000002-D70D-489C-9CC3-BEA36B0A77FD}"/>
              </c:ext>
            </c:extLst>
          </c:dPt>
          <c:cat>
            <c:strRef>
              <c:f>'pivot and charts'!$J$23:$J$31</c:f>
              <c:strCache>
                <c:ptCount val="8"/>
                <c:pt idx="0">
                  <c:v>Lahore</c:v>
                </c:pt>
                <c:pt idx="1">
                  <c:v>Multan</c:v>
                </c:pt>
                <c:pt idx="2">
                  <c:v>Karachi</c:v>
                </c:pt>
                <c:pt idx="3">
                  <c:v>Islamabad</c:v>
                </c:pt>
                <c:pt idx="4">
                  <c:v>Rawalpindi</c:v>
                </c:pt>
                <c:pt idx="5">
                  <c:v>Faisalabad</c:v>
                </c:pt>
                <c:pt idx="6">
                  <c:v>Quetta</c:v>
                </c:pt>
                <c:pt idx="7">
                  <c:v>Peshawar</c:v>
                </c:pt>
              </c:strCache>
            </c:strRef>
          </c:cat>
          <c:val>
            <c:numRef>
              <c:f>'pivot and charts'!$K$23:$K$31</c:f>
              <c:numCache>
                <c:formatCode>General</c:formatCode>
                <c:ptCount val="8"/>
                <c:pt idx="0">
                  <c:v>5986250</c:v>
                </c:pt>
                <c:pt idx="1">
                  <c:v>4882500</c:v>
                </c:pt>
                <c:pt idx="2">
                  <c:v>4551000</c:v>
                </c:pt>
                <c:pt idx="3">
                  <c:v>4516000</c:v>
                </c:pt>
                <c:pt idx="4">
                  <c:v>4098500</c:v>
                </c:pt>
                <c:pt idx="5">
                  <c:v>3858500</c:v>
                </c:pt>
                <c:pt idx="6">
                  <c:v>2803250</c:v>
                </c:pt>
                <c:pt idx="7">
                  <c:v>2626000</c:v>
                </c:pt>
              </c:numCache>
            </c:numRef>
          </c:val>
          <c:extLst>
            <c:ext xmlns:c16="http://schemas.microsoft.com/office/drawing/2014/chart" uri="{C3380CC4-5D6E-409C-BE32-E72D297353CC}">
              <c16:uniqueId val="{00000000-D70D-489C-9CC3-BEA36B0A77FD}"/>
            </c:ext>
          </c:extLst>
        </c:ser>
        <c:dLbls>
          <c:showLegendKey val="0"/>
          <c:showVal val="0"/>
          <c:showCatName val="0"/>
          <c:showSerName val="0"/>
          <c:showPercent val="0"/>
          <c:showBubbleSize val="0"/>
        </c:dLbls>
        <c:gapWidth val="355"/>
        <c:overlap val="-70"/>
        <c:axId val="347780563"/>
        <c:axId val="318017208"/>
      </c:barChart>
      <c:catAx>
        <c:axId val="347780563"/>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18017208"/>
        <c:crosses val="autoZero"/>
        <c:auto val="1"/>
        <c:lblAlgn val="ctr"/>
        <c:lblOffset val="100"/>
        <c:noMultiLvlLbl val="0"/>
      </c:catAx>
      <c:valAx>
        <c:axId val="318017208"/>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47780563"/>
        <c:crosses val="autoZero"/>
        <c:crossBetween val="between"/>
      </c:valAx>
      <c:spPr>
        <a:noFill/>
        <a:ln w="25400">
          <a:noFill/>
        </a:ln>
        <a:effectLst/>
      </c:spPr>
    </c:plotArea>
    <c:plotVisOnly val="1"/>
    <c:dispBlanksAs val="gap"/>
    <c:showDLblsOverMax val="0"/>
    <c:extLst>
      <c:ext uri="{0b15fc19-7d7d-44ad-8c2d-2c3a37ce22c3}">
        <chartProps xmlns="https://web.wps.cn/et/2018/main" chartId="{14ea905b-213c-4470-9420-66caa8a0d9f1}"/>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[Practice Retail_Sales_Dataset_ (Recovered).xlsx]pivot and charts!Payment %</c:name>
    <c:fmtId val="8"/>
  </c:pivotSource>
  <c:chart>
    <c:autoTitleDeleted val="1"/>
    <c:pivotFmts>
      <c:pivotFmt>
        <c:idx val="0"/>
        <c:dLbl>
          <c:idx val="0"/>
          <c:dLblPos val="inEnd"/>
          <c:showLegendKey val="0"/>
          <c:showVal val="0"/>
          <c:showCatName val="1"/>
          <c:showSerName val="0"/>
          <c:showPercent val="1"/>
          <c:showBubbleSize val="1"/>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6"/>
      </c:pivotFmt>
      <c:pivotFmt>
        <c:idx val="7"/>
        <c:dLbl>
          <c:idx val="0"/>
          <c:dLblPos val="inEnd"/>
          <c:showLegendKey val="0"/>
          <c:showVal val="0"/>
          <c:showCatName val="1"/>
          <c:showSerName val="0"/>
          <c:showPercent val="1"/>
          <c:showBubbleSize val="1"/>
          <c:extLst>
            <c:ext xmlns:c15="http://schemas.microsoft.com/office/drawing/2012/chart" uri="{CE6537A1-D6FC-4f65-9D91-7224C49458BB}"/>
          </c:extLst>
        </c:dLbl>
      </c:pivotFmt>
      <c:pivotFmt>
        <c:idx val="8"/>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10"/>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11"/>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12"/>
        <c:dLbl>
          <c:idx val="0"/>
          <c:dLblPos val="inEnd"/>
          <c:showLegendKey val="0"/>
          <c:showVal val="0"/>
          <c:showCatName val="1"/>
          <c:showSerName val="0"/>
          <c:showPercent val="1"/>
          <c:showBubbleSize val="1"/>
          <c:separator>
</c:separator>
          <c:extLst>
            <c:ext xmlns:c15="http://schemas.microsoft.com/office/drawing/2012/chart" uri="{CE6537A1-D6FC-4f65-9D91-7224C49458BB}"/>
          </c:extLst>
        </c:dLbl>
      </c:pivotFmt>
      <c:pivotFmt>
        <c:idx val="13"/>
      </c:pivotFmt>
      <c:pivotFmt>
        <c:idx val="14"/>
        <c:dLbl>
          <c:idx val="0"/>
          <c:dLblPos val="ctr"/>
          <c:showLegendKey val="0"/>
          <c:showVal val="0"/>
          <c:showCatName val="0"/>
          <c:showSerName val="0"/>
          <c:showPercent val="1"/>
          <c:showBubbleSize val="1"/>
          <c:extLst>
            <c:ext xmlns:c15="http://schemas.microsoft.com/office/drawing/2012/chart" uri="{CE6537A1-D6FC-4f65-9D91-7224C49458BB}"/>
          </c:extLst>
        </c:dLbl>
      </c:pivotFmt>
      <c:pivotFmt>
        <c:idx val="15"/>
        <c:dLbl>
          <c:idx val="0"/>
          <c:dLblPos val="ctr"/>
          <c:showLegendKey val="0"/>
          <c:showVal val="0"/>
          <c:showCatName val="0"/>
          <c:showSerName val="0"/>
          <c:showPercent val="1"/>
          <c:showBubbleSize val="1"/>
          <c:separator>
</c:separator>
          <c:extLst>
            <c:ext xmlns:c15="http://schemas.microsoft.com/office/drawing/2012/chart" uri="{CE6537A1-D6FC-4f65-9D91-7224C49458BB}"/>
          </c:extLst>
        </c:dLbl>
      </c:pivotFmt>
      <c:pivotFmt>
        <c:idx val="16"/>
        <c:dLbl>
          <c:idx val="0"/>
          <c:dLblPos val="ctr"/>
          <c:showLegendKey val="0"/>
          <c:showVal val="0"/>
          <c:showCatName val="0"/>
          <c:showSerName val="0"/>
          <c:showPercent val="1"/>
          <c:showBubbleSize val="1"/>
          <c:separator>
</c:separator>
          <c:extLst>
            <c:ext xmlns:c15="http://schemas.microsoft.com/office/drawing/2012/chart" uri="{CE6537A1-D6FC-4f65-9D91-7224C49458BB}"/>
          </c:extLst>
        </c:dLbl>
      </c:pivotFmt>
      <c:pivotFmt>
        <c:idx val="17"/>
        <c:dLbl>
          <c:idx val="0"/>
          <c:dLblPos val="ctr"/>
          <c:showLegendKey val="0"/>
          <c:showVal val="0"/>
          <c:showCatName val="0"/>
          <c:showSerName val="0"/>
          <c:showPercent val="1"/>
          <c:showBubbleSize val="1"/>
          <c:separator>
</c:separator>
          <c:extLst>
            <c:ext xmlns:c15="http://schemas.microsoft.com/office/drawing/2012/chart" uri="{CE6537A1-D6FC-4f65-9D91-7224C49458BB}"/>
          </c:extLst>
        </c:dLbl>
      </c:pivotFmt>
      <c:pivotFmt>
        <c:idx val="18"/>
        <c:dLbl>
          <c:idx val="0"/>
          <c:dLblPos val="ctr"/>
          <c:showLegendKey val="0"/>
          <c:showVal val="0"/>
          <c:showCatName val="0"/>
          <c:showSerName val="0"/>
          <c:showPercent val="1"/>
          <c:showBubbleSize val="1"/>
          <c:separator>
</c:separator>
          <c:extLst>
            <c:ext xmlns:c15="http://schemas.microsoft.com/office/drawing/2012/chart" uri="{CE6537A1-D6FC-4f65-9D91-7224C49458BB}"/>
          </c:extLst>
        </c:dLbl>
      </c:pivotFmt>
      <c:pivotFmt>
        <c:idx val="19"/>
        <c:dLbl>
          <c:idx val="0"/>
          <c:dLblPos val="ctr"/>
          <c:showLegendKey val="0"/>
          <c:showVal val="0"/>
          <c:showCatName val="0"/>
          <c:showSerName val="0"/>
          <c:showPercent val="1"/>
          <c:showBubbleSize val="1"/>
          <c:separator>
</c:separator>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spPr>
          <a:solidFill>
            <a:schemeClr val="accent1"/>
          </a:solidFill>
          <a:ln w="19050">
            <a:solidFill>
              <a:schemeClr val="lt1"/>
            </a:solidFill>
          </a:ln>
          <a:effectLst/>
        </c:spPr>
        <c:marker>
          <c:spPr>
            <a:solidFill>
              <a:schemeClr val="accent1"/>
            </a:solidFill>
            <a:ln w="9525">
              <a:solidFill>
                <a:schemeClr val="accent1"/>
              </a:solidFill>
            </a:ln>
            <a:effectLst/>
          </c:spPr>
        </c:marke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1"/>
          <c:extLst>
            <c:ext xmlns:c15="http://schemas.microsoft.com/office/drawing/2012/chart" uri="{CE6537A1-D6FC-4f65-9D91-7224C49458BB}"/>
          </c:extLst>
        </c:dLbl>
      </c:pivotFmt>
      <c:pivotFmt>
        <c:idx val="28"/>
        <c:spPr>
          <a:solidFill>
            <a:schemeClr val="accent1">
              <a:shade val="50000"/>
            </a:schemeClr>
          </a:solidFill>
          <a:ln w="19050">
            <a:solidFill>
              <a:schemeClr val="lt1"/>
            </a:solidFill>
          </a:ln>
          <a:effectLst/>
        </c:spPr>
      </c:pivotFmt>
      <c:pivotFmt>
        <c:idx val="29"/>
        <c:spPr>
          <a:solidFill>
            <a:schemeClr val="accent1">
              <a:shade val="70000"/>
            </a:schemeClr>
          </a:solidFill>
          <a:ln w="19050">
            <a:solidFill>
              <a:schemeClr val="lt1"/>
            </a:solidFill>
          </a:ln>
          <a:effectLst/>
        </c:spPr>
      </c:pivotFmt>
      <c:pivotFmt>
        <c:idx val="30"/>
        <c:spPr>
          <a:solidFill>
            <a:schemeClr val="accent1">
              <a:shade val="90000"/>
            </a:schemeClr>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tint val="70000"/>
            </a:schemeClr>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accent3">
                      <a:lumMod val="20000"/>
                      <a:lumOff val="80000"/>
                    </a:schemeClr>
                  </a:solidFill>
                  <a:latin typeface="+mn-lt"/>
                  <a:ea typeface="+mn-ea"/>
                  <a:cs typeface="+mn-cs"/>
                </a:defRPr>
              </a:pPr>
              <a:endParaRPr lang="en-US"/>
            </a:p>
          </c:txPr>
          <c:dLblPos val="ctr"/>
          <c:showLegendKey val="0"/>
          <c:showVal val="0"/>
          <c:showCatName val="0"/>
          <c:showSerName val="0"/>
          <c:showPercent val="1"/>
          <c:showBubbleSize val="1"/>
          <c:extLst>
            <c:ext xmlns:c15="http://schemas.microsoft.com/office/drawing/2012/chart" uri="{CE6537A1-D6FC-4f65-9D91-7224C49458BB}"/>
          </c:extLst>
        </c:dLbl>
      </c:pivotFmt>
      <c:pivotFmt>
        <c:idx val="35"/>
        <c:spPr>
          <a:solidFill>
            <a:schemeClr val="accent1">
              <a:shade val="50000"/>
            </a:schemeClr>
          </a:solidFill>
          <a:ln w="19050">
            <a:solidFill>
              <a:schemeClr val="lt1"/>
            </a:solidFill>
          </a:ln>
          <a:effectLst/>
        </c:spPr>
      </c:pivotFmt>
      <c:pivotFmt>
        <c:idx val="36"/>
        <c:spPr>
          <a:solidFill>
            <a:schemeClr val="accent1">
              <a:shade val="70000"/>
            </a:schemeClr>
          </a:solidFill>
          <a:ln w="19050">
            <a:solidFill>
              <a:schemeClr val="lt1"/>
            </a:solidFill>
          </a:ln>
          <a:effectLst/>
        </c:spPr>
      </c:pivotFmt>
      <c:pivotFmt>
        <c:idx val="37"/>
        <c:spPr>
          <a:solidFill>
            <a:schemeClr val="accent1">
              <a:shade val="90000"/>
            </a:schemeClr>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tint val="70000"/>
            </a:schemeClr>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1"/>
          <c:extLst>
            <c:ext xmlns:c15="http://schemas.microsoft.com/office/drawing/2012/chart" uri="{CE6537A1-D6FC-4f65-9D91-7224C49458BB}">
              <c15:layout/>
            </c:ext>
          </c:extLst>
        </c:dLbl>
      </c:pivotFmt>
      <c:pivotFmt>
        <c:idx val="42"/>
        <c:spPr>
          <a:solidFill>
            <a:schemeClr val="accent1">
              <a:shade val="50000"/>
            </a:schemeClr>
          </a:solidFill>
          <a:ln w="19050">
            <a:solidFill>
              <a:schemeClr val="lt1"/>
            </a:solidFill>
          </a:ln>
          <a:effectLst/>
        </c:spPr>
      </c:pivotFmt>
      <c:pivotFmt>
        <c:idx val="43"/>
        <c:spPr>
          <a:solidFill>
            <a:schemeClr val="accent1">
              <a:tint val="70000"/>
            </a:schemeClr>
          </a:solidFill>
          <a:ln w="19050">
            <a:solidFill>
              <a:schemeClr val="lt1"/>
            </a:solidFill>
          </a:ln>
          <a:effectLst/>
        </c:spPr>
      </c:pivotFmt>
      <c:pivotFmt>
        <c:idx val="44"/>
        <c:spPr>
          <a:solidFill>
            <a:schemeClr val="accent1">
              <a:shade val="70000"/>
            </a:schemeClr>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hade val="90000"/>
            </a:schemeClr>
          </a:solidFill>
          <a:ln w="19050">
            <a:solidFill>
              <a:schemeClr val="lt1"/>
            </a:solidFill>
          </a:ln>
          <a:effectLst/>
        </c:spPr>
      </c:pivotFmt>
      <c:pivotFmt>
        <c:idx val="47"/>
        <c:spPr>
          <a:solidFill>
            <a:schemeClr val="accent1"/>
          </a:solidFill>
          <a:ln w="19050">
            <a:solidFill>
              <a:schemeClr val="lt1"/>
            </a:solidFill>
          </a:ln>
          <a:effectLst/>
        </c:spPr>
      </c:pivotFmt>
    </c:pivotFmts>
    <c:plotArea>
      <c:layout>
        <c:manualLayout>
          <c:layoutTarget val="inner"/>
          <c:xMode val="edge"/>
          <c:yMode val="edge"/>
          <c:x val="0.12256435001631205"/>
          <c:y val="0.18034889954821717"/>
          <c:w val="0.65804727414001174"/>
          <c:h val="0.77230300395710783"/>
        </c:manualLayout>
      </c:layout>
      <c:pieChart>
        <c:varyColors val="1"/>
        <c:ser>
          <c:idx val="0"/>
          <c:order val="0"/>
          <c:tx>
            <c:strRef>
              <c:f>'pivot and charts'!$B$52</c:f>
              <c:strCache>
                <c:ptCount val="1"/>
                <c:pt idx="0">
                  <c:v>Total</c:v>
                </c:pt>
              </c:strCache>
            </c:strRef>
          </c:tx>
          <c:dPt>
            <c:idx val="0"/>
            <c:bubble3D val="0"/>
            <c:spPr>
              <a:solidFill>
                <a:schemeClr val="accent1">
                  <a:shade val="50000"/>
                </a:schemeClr>
              </a:solidFill>
              <a:ln w="19050">
                <a:solidFill>
                  <a:schemeClr val="lt1"/>
                </a:solidFill>
              </a:ln>
              <a:effectLst/>
            </c:spPr>
            <c:extLst>
              <c:ext xmlns:c16="http://schemas.microsoft.com/office/drawing/2014/chart" uri="{C3380CC4-5D6E-409C-BE32-E72D297353CC}">
                <c16:uniqueId val="{00000001-8EDE-4158-A207-62F127DA779B}"/>
              </c:ext>
            </c:extLst>
          </c:dPt>
          <c:dPt>
            <c:idx val="1"/>
            <c:bubble3D val="0"/>
            <c:spPr>
              <a:solidFill>
                <a:schemeClr val="accent1">
                  <a:shade val="70000"/>
                </a:schemeClr>
              </a:solidFill>
              <a:ln w="19050">
                <a:solidFill>
                  <a:schemeClr val="lt1"/>
                </a:solidFill>
              </a:ln>
              <a:effectLst/>
            </c:spPr>
            <c:extLst>
              <c:ext xmlns:c16="http://schemas.microsoft.com/office/drawing/2014/chart" uri="{C3380CC4-5D6E-409C-BE32-E72D297353CC}">
                <c16:uniqueId val="{00000003-8EDE-4158-A207-62F127DA779B}"/>
              </c:ext>
            </c:extLst>
          </c:dPt>
          <c:dPt>
            <c:idx val="2"/>
            <c:bubble3D val="0"/>
            <c:spPr>
              <a:solidFill>
                <a:schemeClr val="accent1">
                  <a:shade val="90000"/>
                </a:schemeClr>
              </a:solidFill>
              <a:ln w="19050">
                <a:solidFill>
                  <a:schemeClr val="lt1"/>
                </a:solidFill>
              </a:ln>
              <a:effectLst/>
            </c:spPr>
            <c:extLst>
              <c:ext xmlns:c16="http://schemas.microsoft.com/office/drawing/2014/chart" uri="{C3380CC4-5D6E-409C-BE32-E72D297353CC}">
                <c16:uniqueId val="{00000005-8EDE-4158-A207-62F127DA779B}"/>
              </c:ext>
            </c:extLst>
          </c:dPt>
          <c:dPt>
            <c:idx val="3"/>
            <c:bubble3D val="0"/>
            <c:spPr>
              <a:solidFill>
                <a:schemeClr val="accent1">
                  <a:tint val="90000"/>
                </a:schemeClr>
              </a:solidFill>
              <a:ln w="19050">
                <a:solidFill>
                  <a:schemeClr val="lt1"/>
                </a:solidFill>
              </a:ln>
              <a:effectLst/>
            </c:spPr>
            <c:extLst>
              <c:ext xmlns:c16="http://schemas.microsoft.com/office/drawing/2014/chart" uri="{C3380CC4-5D6E-409C-BE32-E72D297353CC}">
                <c16:uniqueId val="{00000007-8EDE-4158-A207-62F127DA779B}"/>
              </c:ext>
            </c:extLst>
          </c:dPt>
          <c:dPt>
            <c:idx val="4"/>
            <c:bubble3D val="0"/>
            <c:spPr>
              <a:solidFill>
                <a:schemeClr val="accent1">
                  <a:tint val="70000"/>
                </a:schemeClr>
              </a:solidFill>
              <a:ln w="19050">
                <a:solidFill>
                  <a:schemeClr val="lt1"/>
                </a:solidFill>
              </a:ln>
              <a:effectLst/>
            </c:spPr>
            <c:extLst>
              <c:ext xmlns:c16="http://schemas.microsoft.com/office/drawing/2014/chart" uri="{C3380CC4-5D6E-409C-BE32-E72D297353CC}">
                <c16:uniqueId val="{00000009-8EDE-4158-A207-62F127DA779B}"/>
              </c:ext>
            </c:extLst>
          </c:dPt>
          <c:dPt>
            <c:idx val="5"/>
            <c:bubble3D val="0"/>
            <c:spPr>
              <a:solidFill>
                <a:schemeClr val="accent1">
                  <a:tint val="50000"/>
                </a:schemeClr>
              </a:solidFill>
              <a:ln w="19050">
                <a:solidFill>
                  <a:schemeClr val="lt1"/>
                </a:solidFill>
              </a:ln>
              <a:effectLst/>
            </c:spPr>
            <c:extLst>
              <c:ext xmlns:c16="http://schemas.microsoft.com/office/drawing/2014/chart" uri="{C3380CC4-5D6E-409C-BE32-E72D297353CC}">
                <c16:uniqueId val="{0000000B-8EDE-4158-A207-62F127DA779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1"/>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and charts'!$A$53:$A$59</c:f>
              <c:strCache>
                <c:ptCount val="6"/>
                <c:pt idx="0">
                  <c:v>EasyPaisa</c:v>
                </c:pt>
                <c:pt idx="1">
                  <c:v>Bank Transfer</c:v>
                </c:pt>
                <c:pt idx="2">
                  <c:v>JazzCash</c:v>
                </c:pt>
                <c:pt idx="3">
                  <c:v>Credit Card</c:v>
                </c:pt>
                <c:pt idx="4">
                  <c:v>Cash</c:v>
                </c:pt>
                <c:pt idx="5">
                  <c:v>Debit Card</c:v>
                </c:pt>
              </c:strCache>
            </c:strRef>
          </c:cat>
          <c:val>
            <c:numRef>
              <c:f>'pivot and charts'!$B$53:$B$59</c:f>
              <c:numCache>
                <c:formatCode>0.00%</c:formatCode>
                <c:ptCount val="6"/>
                <c:pt idx="0">
                  <c:v>0.20224719101123595</c:v>
                </c:pt>
                <c:pt idx="1">
                  <c:v>0.19101123595505617</c:v>
                </c:pt>
                <c:pt idx="2">
                  <c:v>0.1797752808988764</c:v>
                </c:pt>
                <c:pt idx="3">
                  <c:v>0.15730337078651685</c:v>
                </c:pt>
                <c:pt idx="4">
                  <c:v>0.15730337078651685</c:v>
                </c:pt>
                <c:pt idx="5">
                  <c:v>0.11235955056179775</c:v>
                </c:pt>
              </c:numCache>
            </c:numRef>
          </c:val>
          <c:extLst>
            <c:ext xmlns:c16="http://schemas.microsoft.com/office/drawing/2014/chart" uri="{C3380CC4-5D6E-409C-BE32-E72D297353CC}">
              <c16:uniqueId val="{0000000C-8EDE-4158-A207-62F127DA779B}"/>
            </c:ext>
          </c:extLst>
        </c:ser>
        <c:dLbls>
          <c:showLegendKey val="0"/>
          <c:showVal val="0"/>
          <c:showCatName val="1"/>
          <c:showSerName val="0"/>
          <c:showPercent val="1"/>
          <c:showBubbleSize val="1"/>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704bae0-e8cb-4ad4-a205-55f09ca892bf}"/>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Retail_Sales_Dataset_ (Recovered).xlsx]pivot and charts!PivotTable7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Customer</a:t>
            </a:r>
            <a:r>
              <a:rPr lang="en-US" b="1" baseline="0">
                <a:solidFill>
                  <a:sysClr val="windowText" lastClr="000000"/>
                </a:solidFill>
              </a:rPr>
              <a:t> Type</a:t>
            </a:r>
          </a:p>
        </c:rich>
      </c:tx>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tx2">
              <a:lumMod val="50000"/>
            </a:schemeClr>
          </a:solidFill>
          <a:ln w="19050">
            <a:solidFill>
              <a:schemeClr val="lt1"/>
            </a:solidFill>
          </a:ln>
          <a:effectLst/>
        </c:spPr>
        <c:dLbl>
          <c:idx val="0"/>
          <c:layout>
            <c:manualLayout>
              <c:x val="6.9985598763928764E-2"/>
              <c:y val="-1.3888888888888888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3"/>
        <c:spPr>
          <a:solidFill>
            <a:schemeClr val="accent6">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tx2">
              <a:lumMod val="50000"/>
            </a:schemeClr>
          </a:solidFill>
          <a:ln w="19050">
            <a:solidFill>
              <a:schemeClr val="lt1"/>
            </a:solidFill>
          </a:ln>
          <a:effectLst/>
        </c:spPr>
        <c:dLbl>
          <c:idx val="0"/>
          <c:layout>
            <c:manualLayout>
              <c:x val="6.9985598763928764E-2"/>
              <c:y val="-1.3888888888888888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chemeClr val="tx2">
              <a:lumMod val="50000"/>
            </a:schemeClr>
          </a:solidFill>
          <a:ln w="19050">
            <a:solidFill>
              <a:schemeClr val="lt1"/>
            </a:solidFill>
          </a:ln>
          <a:effectLst/>
        </c:spPr>
        <c:dLbl>
          <c:idx val="0"/>
          <c:layout>
            <c:manualLayout>
              <c:x val="6.9985598763928764E-2"/>
              <c:y val="-1.3888888888888888E-2"/>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
        <c:idx val="9"/>
        <c:spPr>
          <a:solidFill>
            <a:schemeClr val="accent5">
              <a:lumMod val="50000"/>
            </a:schemeClr>
          </a:solidFill>
          <a:ln w="19050">
            <a:solidFill>
              <a:schemeClr val="lt1"/>
            </a:solidFill>
          </a:ln>
          <a:effectLst/>
        </c:spPr>
        <c:dLbl>
          <c:idx val="0"/>
          <c:layout>
            <c:manualLayout>
              <c:x val="-0.12568719722498503"/>
              <c:y val="5.3557429943742109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ext>
          </c:extLst>
        </c:dLbl>
      </c:pivotFmt>
    </c:pivotFmts>
    <c:plotArea>
      <c:layout/>
      <c:doughnutChart>
        <c:varyColors val="1"/>
        <c:ser>
          <c:idx val="0"/>
          <c:order val="0"/>
          <c:tx>
            <c:strRef>
              <c:f>'pivot and charts'!$I$90</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FA4F-4EB3-A822-72DBF2C41A07}"/>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FA4F-4EB3-A822-72DBF2C41A07}"/>
              </c:ext>
            </c:extLst>
          </c:dPt>
          <c:dLbls>
            <c:dLbl>
              <c:idx val="0"/>
              <c:layout>
                <c:manualLayout>
                  <c:x val="6.9985598763928764E-2"/>
                  <c:y val="-1.3888888888888888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FA4F-4EB3-A822-72DBF2C41A07}"/>
                </c:ext>
              </c:extLst>
            </c:dLbl>
            <c:dLbl>
              <c:idx val="1"/>
              <c:layout>
                <c:manualLayout>
                  <c:x val="-0.12568719722498503"/>
                  <c:y val="5.3557429943742109E-17"/>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FA4F-4EB3-A822-72DBF2C41A07}"/>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and charts'!$H$91:$H$93</c:f>
              <c:strCache>
                <c:ptCount val="2"/>
                <c:pt idx="0">
                  <c:v>New</c:v>
                </c:pt>
                <c:pt idx="1">
                  <c:v>Returning</c:v>
                </c:pt>
              </c:strCache>
            </c:strRef>
          </c:cat>
          <c:val>
            <c:numRef>
              <c:f>'pivot and charts'!$I$91:$I$93</c:f>
              <c:numCache>
                <c:formatCode>General</c:formatCode>
                <c:ptCount val="2"/>
                <c:pt idx="0">
                  <c:v>17503000</c:v>
                </c:pt>
                <c:pt idx="1">
                  <c:v>15819000</c:v>
                </c:pt>
              </c:numCache>
            </c:numRef>
          </c:val>
          <c:extLst>
            <c:ext xmlns:c16="http://schemas.microsoft.com/office/drawing/2014/chart" uri="{C3380CC4-5D6E-409C-BE32-E72D297353CC}">
              <c16:uniqueId val="{00000004-FA4F-4EB3-A822-72DBF2C41A0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4.png"/><Relationship Id="rId11" Type="http://schemas.openxmlformats.org/officeDocument/2006/relationships/chart" Target="../charts/chart12.xml"/><Relationship Id="rId5" Type="http://schemas.openxmlformats.org/officeDocument/2006/relationships/image" Target="../media/image3.png"/><Relationship Id="rId10" Type="http://schemas.openxmlformats.org/officeDocument/2006/relationships/chart" Target="../charts/chart11.xml"/><Relationship Id="rId4" Type="http://schemas.openxmlformats.org/officeDocument/2006/relationships/image" Target="../media/image2.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31358</xdr:colOff>
      <xdr:row>16</xdr:row>
      <xdr:rowOff>74641</xdr:rowOff>
    </xdr:from>
    <xdr:to>
      <xdr:col>2</xdr:col>
      <xdr:colOff>1277839</xdr:colOff>
      <xdr:row>27</xdr:row>
      <xdr:rowOff>23519</xdr:rowOff>
    </xdr:to>
    <xdr:graphicFrame macro="">
      <xdr:nvGraphicFramePr>
        <xdr:cNvPr id="3" name="Monthly Trend"/>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1411111</xdr:colOff>
      <xdr:row>31</xdr:row>
      <xdr:rowOff>142704</xdr:rowOff>
    </xdr:from>
    <xdr:to>
      <xdr:col>14</xdr:col>
      <xdr:colOff>52603</xdr:colOff>
      <xdr:row>46</xdr:row>
      <xdr:rowOff>123654</xdr:rowOff>
    </xdr:to>
    <xdr:graphicFrame macro="">
      <xdr:nvGraphicFramePr>
        <xdr:cNvPr id="4" name="Payment method"/>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485634</xdr:colOff>
      <xdr:row>66</xdr:row>
      <xdr:rowOff>3205</xdr:rowOff>
    </xdr:from>
    <xdr:to>
      <xdr:col>9</xdr:col>
      <xdr:colOff>757979</xdr:colOff>
      <xdr:row>80</xdr:row>
      <xdr:rowOff>164463</xdr:rowOff>
    </xdr:to>
    <xdr:graphicFrame macro="">
      <xdr:nvGraphicFramePr>
        <xdr:cNvPr id="5" name="revenue by produc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731057</xdr:colOff>
      <xdr:row>0</xdr:row>
      <xdr:rowOff>129563</xdr:rowOff>
    </xdr:from>
    <xdr:to>
      <xdr:col>10</xdr:col>
      <xdr:colOff>47139</xdr:colOff>
      <xdr:row>13</xdr:row>
      <xdr:rowOff>55637</xdr:rowOff>
    </xdr:to>
    <mc:AlternateContent xmlns:mc="http://schemas.openxmlformats.org/markup-compatibility/2006" xmlns:a14="http://schemas.microsoft.com/office/drawing/2010/main">
      <mc:Choice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94082" y="129563"/>
              <a:ext cx="1832563" cy="2324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604112</xdr:colOff>
      <xdr:row>0</xdr:row>
      <xdr:rowOff>63351</xdr:rowOff>
    </xdr:from>
    <xdr:to>
      <xdr:col>8</xdr:col>
      <xdr:colOff>657742</xdr:colOff>
      <xdr:row>5</xdr:row>
      <xdr:rowOff>122406</xdr:rowOff>
    </xdr:to>
    <mc:AlternateContent xmlns:mc="http://schemas.openxmlformats.org/markup-compatibility/2006" xmlns:a14="http://schemas.microsoft.com/office/drawing/2010/main">
      <mc:Choice Requires="a14">
        <xdr:graphicFrame macro="">
          <xdr:nvGraphicFramePr>
            <xdr:cNvPr id="20"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687569" y="63351"/>
              <a:ext cx="1833198" cy="101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461128</xdr:colOff>
      <xdr:row>0</xdr:row>
      <xdr:rowOff>149586</xdr:rowOff>
    </xdr:from>
    <xdr:to>
      <xdr:col>6</xdr:col>
      <xdr:colOff>288659</xdr:colOff>
      <xdr:row>12</xdr:row>
      <xdr:rowOff>9283</xdr:rowOff>
    </xdr:to>
    <mc:AlternateContent xmlns:mc="http://schemas.openxmlformats.org/markup-compatibility/2006" xmlns:a14="http://schemas.microsoft.com/office/drawing/2010/main">
      <mc:Choice Requires="a14">
        <xdr:graphicFrame macro="">
          <xdr:nvGraphicFramePr>
            <xdr:cNvPr id="21" name="Payment Method"/>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4537671" y="149586"/>
              <a:ext cx="1834445" cy="2078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43941</xdr:colOff>
      <xdr:row>1</xdr:row>
      <xdr:rowOff>2249</xdr:rowOff>
    </xdr:from>
    <xdr:to>
      <xdr:col>2</xdr:col>
      <xdr:colOff>1294891</xdr:colOff>
      <xdr:row>15</xdr:row>
      <xdr:rowOff>108632</xdr:rowOff>
    </xdr:to>
    <xdr:graphicFrame macro="">
      <xdr:nvGraphicFramePr>
        <xdr:cNvPr id="7" name="Top Reg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304723</xdr:colOff>
      <xdr:row>0</xdr:row>
      <xdr:rowOff>82471</xdr:rowOff>
    </xdr:from>
    <xdr:to>
      <xdr:col>11</xdr:col>
      <xdr:colOff>1153585</xdr:colOff>
      <xdr:row>14</xdr:row>
      <xdr:rowOff>27398</xdr:rowOff>
    </xdr:to>
    <mc:AlternateContent xmlns:mc="http://schemas.openxmlformats.org/markup-compatibility/2006" xmlns:a14="http://schemas.microsoft.com/office/drawing/2010/main">
      <mc:Choice Requires="a14">
        <xdr:graphicFrame macro="">
          <xdr:nvGraphicFramePr>
            <xdr:cNvPr id="2" name="Month"/>
            <xdr:cNvGraphicFramePr>
              <a:graphicFrameLocks/>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84229" y="8247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375513</xdr:colOff>
      <xdr:row>31</xdr:row>
      <xdr:rowOff>145344</xdr:rowOff>
    </xdr:from>
    <xdr:to>
      <xdr:col>8</xdr:col>
      <xdr:colOff>1474611</xdr:colOff>
      <xdr:row>47</xdr:row>
      <xdr:rowOff>3605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95</xdr:row>
      <xdr:rowOff>106146</xdr:rowOff>
    </xdr:from>
    <xdr:to>
      <xdr:col>2</xdr:col>
      <xdr:colOff>1129673</xdr:colOff>
      <xdr:row>110</xdr:row>
      <xdr:rowOff>144717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73270</xdr:colOff>
      <xdr:row>28</xdr:row>
      <xdr:rowOff>178329</xdr:rowOff>
    </xdr:from>
    <xdr:to>
      <xdr:col>9</xdr:col>
      <xdr:colOff>586154</xdr:colOff>
      <xdr:row>42</xdr:row>
      <xdr:rowOff>56444</xdr:rowOff>
    </xdr:to>
    <xdr:graphicFrame macro="">
      <xdr:nvGraphicFramePr>
        <xdr:cNvPr id="70" name="Monthly Tren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10496</xdr:colOff>
      <xdr:row>11</xdr:row>
      <xdr:rowOff>24423</xdr:rowOff>
    </xdr:from>
    <xdr:to>
      <xdr:col>13</xdr:col>
      <xdr:colOff>236333</xdr:colOff>
      <xdr:row>12</xdr:row>
      <xdr:rowOff>113974</xdr:rowOff>
    </xdr:to>
    <xdr:sp macro="" textlink="">
      <xdr:nvSpPr>
        <xdr:cNvPr id="7" name="Rectangle 6"/>
        <xdr:cNvSpPr/>
      </xdr:nvSpPr>
      <xdr:spPr>
        <a:xfrm>
          <a:off x="4821842" y="2230641"/>
          <a:ext cx="4825517" cy="276795"/>
        </a:xfrm>
        <a:prstGeom prst="rect">
          <a:avLst/>
        </a:prstGeom>
        <a:solidFill>
          <a:schemeClr val="tx2">
            <a:lumMod val="50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800" b="1">
              <a:solidFill>
                <a:schemeClr val="bg1"/>
              </a:solidFill>
            </a:rPr>
            <a:t>Top Region by Revenue</a:t>
          </a:r>
        </a:p>
      </xdr:txBody>
    </xdr:sp>
    <xdr:clientData/>
  </xdr:twoCellAnchor>
  <xdr:twoCellAnchor>
    <xdr:from>
      <xdr:col>19</xdr:col>
      <xdr:colOff>57561</xdr:colOff>
      <xdr:row>5</xdr:row>
      <xdr:rowOff>76327</xdr:rowOff>
    </xdr:from>
    <xdr:to>
      <xdr:col>22</xdr:col>
      <xdr:colOff>334114</xdr:colOff>
      <xdr:row>40</xdr:row>
      <xdr:rowOff>26831</xdr:rowOff>
    </xdr:to>
    <xdr:sp macro="" textlink="">
      <xdr:nvSpPr>
        <xdr:cNvPr id="6" name="Rectangle 5"/>
        <xdr:cNvSpPr/>
      </xdr:nvSpPr>
      <xdr:spPr>
        <a:xfrm>
          <a:off x="13106364" y="1015412"/>
          <a:ext cx="2101060" cy="6667194"/>
        </a:xfrm>
        <a:prstGeom prst="rect">
          <a:avLst/>
        </a:prstGeom>
        <a:solidFill>
          <a:schemeClr val="tx2">
            <a:lumMod val="50000"/>
          </a:schemeClr>
        </a:soli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p>
          <a:endParaRPr lang="en-US"/>
        </a:p>
      </xdr:txBody>
    </xdr:sp>
    <xdr:clientData/>
  </xdr:twoCellAnchor>
  <xdr:twoCellAnchor>
    <xdr:from>
      <xdr:col>305</xdr:col>
      <xdr:colOff>133350</xdr:colOff>
      <xdr:row>25</xdr:row>
      <xdr:rowOff>132715</xdr:rowOff>
    </xdr:from>
    <xdr:to>
      <xdr:col>313</xdr:col>
      <xdr:colOff>82550</xdr:colOff>
      <xdr:row>38</xdr:row>
      <xdr:rowOff>69850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106021</xdr:colOff>
      <xdr:row>0</xdr:row>
      <xdr:rowOff>115833</xdr:rowOff>
    </xdr:from>
    <xdr:to>
      <xdr:col>22</xdr:col>
      <xdr:colOff>310744</xdr:colOff>
      <xdr:row>4</xdr:row>
      <xdr:rowOff>175172</xdr:rowOff>
    </xdr:to>
    <xdr:sp macro="" textlink="">
      <xdr:nvSpPr>
        <xdr:cNvPr id="15" name="Rectangle 14"/>
        <xdr:cNvSpPr/>
      </xdr:nvSpPr>
      <xdr:spPr>
        <a:xfrm>
          <a:off x="106021" y="115833"/>
          <a:ext cx="14756806" cy="800172"/>
        </a:xfrm>
        <a:prstGeom prst="rect">
          <a:avLst/>
        </a:prstGeom>
        <a:solidFill>
          <a:schemeClr val="tx2">
            <a:lumMod val="5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l"/>
          <a:r>
            <a:rPr lang="en-US" sz="3600">
              <a:solidFill>
                <a:schemeClr val="bg1"/>
              </a:solidFill>
              <a:latin typeface="Bahnschrift SemiBold" panose="020B0502040204020203" pitchFamily="34" charset="0"/>
              <a:cs typeface="+mj-ea"/>
            </a:rPr>
            <a:t>  </a:t>
          </a:r>
          <a:r>
            <a:rPr lang="en-US" sz="3600" baseline="0">
              <a:solidFill>
                <a:schemeClr val="bg1"/>
              </a:solidFill>
              <a:latin typeface="Bahnschrift SemiBold" panose="020B0502040204020203" pitchFamily="34" charset="0"/>
              <a:cs typeface="+mj-ea"/>
            </a:rPr>
            <a:t>   </a:t>
          </a:r>
          <a:r>
            <a:rPr lang="en-US" sz="3600">
              <a:solidFill>
                <a:schemeClr val="bg1"/>
              </a:solidFill>
              <a:latin typeface="Bahnschrift SemiBold" panose="020B0502040204020203" pitchFamily="34" charset="0"/>
              <a:cs typeface="+mj-ea"/>
            </a:rPr>
            <a:t>    </a:t>
          </a:r>
          <a:r>
            <a:rPr lang="en-US" sz="3600" baseline="0">
              <a:solidFill>
                <a:schemeClr val="bg1"/>
              </a:solidFill>
              <a:latin typeface="Bahnschrift SemiBold" panose="020B0502040204020203" pitchFamily="34" charset="0"/>
              <a:cs typeface="+mj-ea"/>
            </a:rPr>
            <a:t> </a:t>
          </a:r>
          <a:r>
            <a:rPr lang="en-US" sz="3600">
              <a:solidFill>
                <a:schemeClr val="bg1"/>
              </a:solidFill>
              <a:latin typeface="Bahnschrift SemiBold" panose="020B0502040204020203" pitchFamily="34" charset="0"/>
              <a:cs typeface="+mj-ea"/>
            </a:rPr>
            <a:t>RETAIL SALES DASHBOARD </a:t>
          </a:r>
          <a:r>
            <a:rPr lang="en-US" sz="3600" baseline="0">
              <a:solidFill>
                <a:schemeClr val="bg1"/>
              </a:solidFill>
              <a:latin typeface="Bahnschrift SemiBold" panose="020B0502040204020203" pitchFamily="34" charset="0"/>
              <a:cs typeface="+mj-ea"/>
            </a:rPr>
            <a:t>                                            </a:t>
          </a:r>
          <a:endParaRPr lang="en-US" sz="2400">
            <a:solidFill>
              <a:schemeClr val="bg1"/>
            </a:solidFill>
            <a:latin typeface="Bahnschrift SemiBold" panose="020B0502040204020203" pitchFamily="34" charset="0"/>
            <a:cs typeface="+mj-ea"/>
          </a:endParaRPr>
        </a:p>
      </xdr:txBody>
    </xdr:sp>
    <xdr:clientData/>
  </xdr:twoCellAnchor>
  <xdr:twoCellAnchor editAs="oneCell">
    <xdr:from>
      <xdr:col>19</xdr:col>
      <xdr:colOff>147743</xdr:colOff>
      <xdr:row>6</xdr:row>
      <xdr:rowOff>29524</xdr:rowOff>
    </xdr:from>
    <xdr:to>
      <xdr:col>22</xdr:col>
      <xdr:colOff>263374</xdr:colOff>
      <xdr:row>9</xdr:row>
      <xdr:rowOff>10842</xdr:rowOff>
    </xdr:to>
    <mc:AlternateContent xmlns:mc="http://schemas.openxmlformats.org/markup-compatibility/2006" xmlns:a14="http://schemas.microsoft.com/office/drawing/2010/main">
      <mc:Choice Requires="a14">
        <xdr:graphicFrame macro="">
          <xdr:nvGraphicFramePr>
            <xdr:cNvPr id="10" name="Customer Type 3"/>
            <xdr:cNvGraphicFramePr/>
          </xdr:nvGraphicFramePr>
          <xdr:xfrm>
            <a:off x="0" y="0"/>
            <a:ext cx="0" cy="0"/>
          </xdr:xfrm>
          <a:graphic>
            <a:graphicData uri="http://schemas.microsoft.com/office/drawing/2010/slicer">
              <sle:slicer xmlns:sle="http://schemas.microsoft.com/office/drawing/2010/slicer" name="Customer Type 3"/>
            </a:graphicData>
          </a:graphic>
        </xdr:graphicFrame>
      </mc:Choice>
      <mc:Fallback xmlns="">
        <xdr:sp macro="" textlink="">
          <xdr:nvSpPr>
            <xdr:cNvPr id="0" name=""/>
            <xdr:cNvSpPr>
              <a:spLocks noTextEdit="1"/>
            </xdr:cNvSpPr>
          </xdr:nvSpPr>
          <xdr:spPr>
            <a:xfrm>
              <a:off x="12861254" y="1164418"/>
              <a:ext cx="1939567" cy="6838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128904</xdr:colOff>
      <xdr:row>9</xdr:row>
      <xdr:rowOff>53827</xdr:rowOff>
    </xdr:from>
    <xdr:to>
      <xdr:col>22</xdr:col>
      <xdr:colOff>254907</xdr:colOff>
      <xdr:row>18</xdr:row>
      <xdr:rowOff>162128</xdr:rowOff>
    </xdr:to>
    <mc:AlternateContent xmlns:mc="http://schemas.openxmlformats.org/markup-compatibility/2006" xmlns:a14="http://schemas.microsoft.com/office/drawing/2010/main">
      <mc:Choice Requires="a14">
        <xdr:graphicFrame macro="">
          <xdr:nvGraphicFramePr>
            <xdr:cNvPr id="11"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855362" y="1866223"/>
              <a:ext cx="1951628" cy="1775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137094</xdr:colOff>
      <xdr:row>26</xdr:row>
      <xdr:rowOff>11233</xdr:rowOff>
    </xdr:from>
    <xdr:to>
      <xdr:col>10</xdr:col>
      <xdr:colOff>529167</xdr:colOff>
      <xdr:row>27</xdr:row>
      <xdr:rowOff>97694</xdr:rowOff>
    </xdr:to>
    <xdr:sp macro="" textlink="">
      <xdr:nvSpPr>
        <xdr:cNvPr id="20" name="Rectangle 19"/>
        <xdr:cNvSpPr/>
      </xdr:nvSpPr>
      <xdr:spPr>
        <a:xfrm>
          <a:off x="137094" y="5026105"/>
          <a:ext cx="7971368" cy="273704"/>
        </a:xfrm>
        <a:prstGeom prst="rect">
          <a:avLst/>
        </a:prstGeom>
        <a:solidFill>
          <a:schemeClr val="tx2">
            <a:lumMod val="50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600" b="1"/>
            <a:t>Monthly Trend Analysis                                   </a:t>
          </a:r>
        </a:p>
      </xdr:txBody>
    </xdr:sp>
    <xdr:clientData/>
  </xdr:twoCellAnchor>
  <xdr:twoCellAnchor editAs="oneCell">
    <xdr:from>
      <xdr:col>0</xdr:col>
      <xdr:colOff>218965</xdr:colOff>
      <xdr:row>0</xdr:row>
      <xdr:rowOff>109483</xdr:rowOff>
    </xdr:from>
    <xdr:to>
      <xdr:col>1</xdr:col>
      <xdr:colOff>573689</xdr:colOff>
      <xdr:row>5</xdr:row>
      <xdr:rowOff>2303</xdr:rowOff>
    </xdr:to>
    <xdr:pic>
      <xdr:nvPicPr>
        <xdr:cNvPr id="9" name="Picture 8" descr="icons8-total-sales-64"/>
        <xdr:cNvPicPr>
          <a:picLocks noChangeAspect="1"/>
        </xdr:cNvPicPr>
      </xdr:nvPicPr>
      <xdr:blipFill>
        <a:blip xmlns:r="http://schemas.openxmlformats.org/officeDocument/2006/relationships" r:embed="rId3"/>
        <a:stretch>
          <a:fillRect/>
        </a:stretch>
      </xdr:blipFill>
      <xdr:spPr>
        <a:xfrm>
          <a:off x="218965" y="109483"/>
          <a:ext cx="956879" cy="821119"/>
        </a:xfrm>
        <a:prstGeom prst="rect">
          <a:avLst/>
        </a:prstGeom>
      </xdr:spPr>
    </xdr:pic>
    <xdr:clientData/>
  </xdr:twoCellAnchor>
  <xdr:twoCellAnchor editAs="oneCell">
    <xdr:from>
      <xdr:col>19</xdr:col>
      <xdr:colOff>129693</xdr:colOff>
      <xdr:row>19</xdr:row>
      <xdr:rowOff>72650</xdr:rowOff>
    </xdr:from>
    <xdr:to>
      <xdr:col>22</xdr:col>
      <xdr:colOff>265688</xdr:colOff>
      <xdr:row>27</xdr:row>
      <xdr:rowOff>112888</xdr:rowOff>
    </xdr:to>
    <mc:AlternateContent xmlns:mc="http://schemas.openxmlformats.org/markup-compatibility/2006" xmlns:a14="http://schemas.microsoft.com/office/drawing/2010/main">
      <mc:Choice Requires="a14">
        <xdr:graphicFrame macro="">
          <xdr:nvGraphicFramePr>
            <xdr:cNvPr id="22"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3142308" y="3745881"/>
              <a:ext cx="1953072" cy="15251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153272</xdr:colOff>
      <xdr:row>5</xdr:row>
      <xdr:rowOff>75761</xdr:rowOff>
    </xdr:from>
    <xdr:to>
      <xdr:col>13</xdr:col>
      <xdr:colOff>262759</xdr:colOff>
      <xdr:row>10</xdr:row>
      <xdr:rowOff>142329</xdr:rowOff>
    </xdr:to>
    <xdr:sp macro="" textlink="">
      <xdr:nvSpPr>
        <xdr:cNvPr id="23" name="Rounded Rectangle 22"/>
        <xdr:cNvSpPr/>
      </xdr:nvSpPr>
      <xdr:spPr>
        <a:xfrm>
          <a:off x="6185772" y="1001803"/>
          <a:ext cx="3152195" cy="1138130"/>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xdr:col>
      <xdr:colOff>722587</xdr:colOff>
      <xdr:row>5</xdr:row>
      <xdr:rowOff>74010</xdr:rowOff>
    </xdr:from>
    <xdr:to>
      <xdr:col>8</xdr:col>
      <xdr:colOff>107083</xdr:colOff>
      <xdr:row>10</xdr:row>
      <xdr:rowOff>175174</xdr:rowOff>
    </xdr:to>
    <xdr:sp macro="" textlink="">
      <xdr:nvSpPr>
        <xdr:cNvPr id="26" name="Rounded Rectangle 25"/>
        <xdr:cNvSpPr/>
      </xdr:nvSpPr>
      <xdr:spPr>
        <a:xfrm>
          <a:off x="3130295" y="1000052"/>
          <a:ext cx="3009288" cy="1172726"/>
        </a:xfrm>
        <a:prstGeom prst="round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1116724</xdr:colOff>
      <xdr:row>5</xdr:row>
      <xdr:rowOff>142905</xdr:rowOff>
    </xdr:from>
    <xdr:to>
      <xdr:col>7</xdr:col>
      <xdr:colOff>932608</xdr:colOff>
      <xdr:row>8</xdr:row>
      <xdr:rowOff>121007</xdr:rowOff>
    </xdr:to>
    <xdr:sp macro="" textlink="">
      <xdr:nvSpPr>
        <xdr:cNvPr id="32" name="TextBox 31"/>
        <xdr:cNvSpPr txBox="1"/>
      </xdr:nvSpPr>
      <xdr:spPr>
        <a:xfrm>
          <a:off x="3523040" y="1061984"/>
          <a:ext cx="2823779" cy="529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a:t>
          </a:r>
          <a:r>
            <a:rPr lang="en-US" sz="2000" b="1" baseline="0">
              <a:solidFill>
                <a:schemeClr val="bg1"/>
              </a:solidFill>
            </a:rPr>
            <a:t>      </a:t>
          </a:r>
          <a:r>
            <a:rPr lang="en-US" sz="2000" b="1">
              <a:solidFill>
                <a:schemeClr val="accent3">
                  <a:lumMod val="20000"/>
                  <a:lumOff val="80000"/>
                </a:schemeClr>
              </a:solidFill>
            </a:rPr>
            <a:t>Total</a:t>
          </a:r>
          <a:r>
            <a:rPr lang="en-US" sz="2000" b="1" baseline="0">
              <a:solidFill>
                <a:schemeClr val="accent3">
                  <a:lumMod val="20000"/>
                  <a:lumOff val="80000"/>
                </a:schemeClr>
              </a:solidFill>
            </a:rPr>
            <a:t> Profit</a:t>
          </a:r>
          <a:endParaRPr lang="en-US" sz="2000" b="1">
            <a:solidFill>
              <a:schemeClr val="accent3">
                <a:lumMod val="20000"/>
                <a:lumOff val="80000"/>
              </a:schemeClr>
            </a:solidFill>
          </a:endParaRPr>
        </a:p>
      </xdr:txBody>
    </xdr:sp>
    <xdr:clientData/>
  </xdr:twoCellAnchor>
  <xdr:twoCellAnchor>
    <xdr:from>
      <xdr:col>0</xdr:col>
      <xdr:colOff>98534</xdr:colOff>
      <xdr:row>5</xdr:row>
      <xdr:rowOff>62183</xdr:rowOff>
    </xdr:from>
    <xdr:to>
      <xdr:col>4</xdr:col>
      <xdr:colOff>679668</xdr:colOff>
      <xdr:row>10</xdr:row>
      <xdr:rowOff>163347</xdr:rowOff>
    </xdr:to>
    <xdr:sp macro="" textlink="">
      <xdr:nvSpPr>
        <xdr:cNvPr id="33" name="Rounded Rectangle 32"/>
        <xdr:cNvSpPr/>
      </xdr:nvSpPr>
      <xdr:spPr>
        <a:xfrm>
          <a:off x="98534" y="988225"/>
          <a:ext cx="2988842" cy="1172726"/>
        </a:xfrm>
        <a:prstGeom prst="round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4</xdr:col>
      <xdr:colOff>853964</xdr:colOff>
      <xdr:row>6</xdr:row>
      <xdr:rowOff>120431</xdr:rowOff>
    </xdr:from>
    <xdr:to>
      <xdr:col>5</xdr:col>
      <xdr:colOff>306471</xdr:colOff>
      <xdr:row>9</xdr:row>
      <xdr:rowOff>54662</xdr:rowOff>
    </xdr:to>
    <xdr:pic>
      <xdr:nvPicPr>
        <xdr:cNvPr id="37" name="Picture 3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284481" y="1237155"/>
          <a:ext cx="634921" cy="634921"/>
        </a:xfrm>
        <a:prstGeom prst="rect">
          <a:avLst/>
        </a:prstGeom>
      </xdr:spPr>
    </xdr:pic>
    <xdr:clientData/>
  </xdr:twoCellAnchor>
  <xdr:twoCellAnchor>
    <xdr:from>
      <xdr:col>5</xdr:col>
      <xdr:colOff>453947</xdr:colOff>
      <xdr:row>7</xdr:row>
      <xdr:rowOff>89674</xdr:rowOff>
    </xdr:from>
    <xdr:to>
      <xdr:col>8</xdr:col>
      <xdr:colOff>121849</xdr:colOff>
      <xdr:row>9</xdr:row>
      <xdr:rowOff>147612</xdr:rowOff>
    </xdr:to>
    <xdr:sp macro="" textlink="$H$43">
      <xdr:nvSpPr>
        <xdr:cNvPr id="40" name="TextBox 39"/>
        <xdr:cNvSpPr txBox="1"/>
      </xdr:nvSpPr>
      <xdr:spPr>
        <a:xfrm>
          <a:off x="4046710" y="1376385"/>
          <a:ext cx="2425139" cy="575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A670A5-79E5-4444-8FD7-B86F43B61639}" type="TxLink">
            <a:rPr lang="en-US" sz="2400" b="1" i="0" u="none" strike="noStrike">
              <a:solidFill>
                <a:schemeClr val="accent3">
                  <a:lumMod val="20000"/>
                  <a:lumOff val="80000"/>
                </a:schemeClr>
              </a:solidFill>
              <a:latin typeface="Calibri"/>
              <a:ea typeface="Calibri"/>
              <a:cs typeface="Calibri"/>
            </a:rPr>
            <a:pPr/>
            <a:t>3.6 M</a:t>
          </a:fld>
          <a:endParaRPr lang="en-US" sz="2400" b="1">
            <a:solidFill>
              <a:schemeClr val="accent3">
                <a:lumMod val="20000"/>
                <a:lumOff val="80000"/>
              </a:schemeClr>
            </a:solidFill>
          </a:endParaRPr>
        </a:p>
      </xdr:txBody>
    </xdr:sp>
    <xdr:clientData/>
  </xdr:twoCellAnchor>
  <xdr:twoCellAnchor>
    <xdr:from>
      <xdr:col>8</xdr:col>
      <xdr:colOff>584868</xdr:colOff>
      <xdr:row>5</xdr:row>
      <xdr:rowOff>175459</xdr:rowOff>
    </xdr:from>
    <xdr:to>
      <xdr:col>15</xdr:col>
      <xdr:colOff>54742</xdr:colOff>
      <xdr:row>8</xdr:row>
      <xdr:rowOff>16711</xdr:rowOff>
    </xdr:to>
    <xdr:sp macro="" textlink="">
      <xdr:nvSpPr>
        <xdr:cNvPr id="41" name="TextBox 40"/>
        <xdr:cNvSpPr txBox="1"/>
      </xdr:nvSpPr>
      <xdr:spPr>
        <a:xfrm>
          <a:off x="6934868" y="1094538"/>
          <a:ext cx="3739413" cy="392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TOTAL</a:t>
          </a:r>
          <a:r>
            <a:rPr lang="en-US" sz="2000" b="1" baseline="0">
              <a:solidFill>
                <a:schemeClr val="bg1"/>
              </a:solidFill>
            </a:rPr>
            <a:t> ORDERS</a:t>
          </a:r>
          <a:endParaRPr lang="en-US" sz="2000" b="1">
            <a:solidFill>
              <a:schemeClr val="bg1"/>
            </a:solidFill>
          </a:endParaRPr>
        </a:p>
      </xdr:txBody>
    </xdr:sp>
    <xdr:clientData/>
  </xdr:twoCellAnchor>
  <xdr:twoCellAnchor>
    <xdr:from>
      <xdr:col>1</xdr:col>
      <xdr:colOff>116973</xdr:colOff>
      <xdr:row>5</xdr:row>
      <xdr:rowOff>109484</xdr:rowOff>
    </xdr:from>
    <xdr:to>
      <xdr:col>5</xdr:col>
      <xdr:colOff>21897</xdr:colOff>
      <xdr:row>7</xdr:row>
      <xdr:rowOff>116973</xdr:rowOff>
    </xdr:to>
    <xdr:sp macro="" textlink="">
      <xdr:nvSpPr>
        <xdr:cNvPr id="42" name="TextBox 41"/>
        <xdr:cNvSpPr txBox="1"/>
      </xdr:nvSpPr>
      <xdr:spPr>
        <a:xfrm>
          <a:off x="710197" y="1028563"/>
          <a:ext cx="2904463" cy="375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        TOTAL</a:t>
          </a:r>
          <a:r>
            <a:rPr lang="en-US" sz="2000" b="1" baseline="0">
              <a:solidFill>
                <a:schemeClr val="bg1"/>
              </a:solidFill>
            </a:rPr>
            <a:t> REVENUE</a:t>
          </a:r>
        </a:p>
      </xdr:txBody>
    </xdr:sp>
    <xdr:clientData/>
  </xdr:twoCellAnchor>
  <xdr:twoCellAnchor>
    <xdr:from>
      <xdr:col>1</xdr:col>
      <xdr:colOff>349468</xdr:colOff>
      <xdr:row>5</xdr:row>
      <xdr:rowOff>152401</xdr:rowOff>
    </xdr:from>
    <xdr:to>
      <xdr:col>1</xdr:col>
      <xdr:colOff>349468</xdr:colOff>
      <xdr:row>9</xdr:row>
      <xdr:rowOff>31969</xdr:rowOff>
    </xdr:to>
    <xdr:cxnSp macro="">
      <xdr:nvCxnSpPr>
        <xdr:cNvPr id="43" name="Straight Connector 42"/>
        <xdr:cNvCxnSpPr/>
      </xdr:nvCxnSpPr>
      <xdr:spPr>
        <a:xfrm>
          <a:off x="944781" y="1078443"/>
          <a:ext cx="0" cy="765922"/>
        </a:xfrm>
        <a:prstGeom prst="line">
          <a:avLst/>
        </a:prstGeom>
        <a:ln>
          <a:no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356953</xdr:colOff>
      <xdr:row>5</xdr:row>
      <xdr:rowOff>50347</xdr:rowOff>
    </xdr:from>
    <xdr:to>
      <xdr:col>18</xdr:col>
      <xdr:colOff>575921</xdr:colOff>
      <xdr:row>10</xdr:row>
      <xdr:rowOff>153898</xdr:rowOff>
    </xdr:to>
    <xdr:sp macro="" textlink="">
      <xdr:nvSpPr>
        <xdr:cNvPr id="44" name="Rounded Rectangle 43"/>
        <xdr:cNvSpPr/>
      </xdr:nvSpPr>
      <xdr:spPr>
        <a:xfrm>
          <a:off x="9756624" y="969426"/>
          <a:ext cx="3268639" cy="1173025"/>
        </a:xfrm>
        <a:prstGeom prst="round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437056</xdr:colOff>
      <xdr:row>6</xdr:row>
      <xdr:rowOff>10072</xdr:rowOff>
    </xdr:from>
    <xdr:to>
      <xdr:col>1</xdr:col>
      <xdr:colOff>437056</xdr:colOff>
      <xdr:row>9</xdr:row>
      <xdr:rowOff>75761</xdr:rowOff>
    </xdr:to>
    <xdr:cxnSp macro="">
      <xdr:nvCxnSpPr>
        <xdr:cNvPr id="45" name="Straight Connector 44"/>
        <xdr:cNvCxnSpPr/>
      </xdr:nvCxnSpPr>
      <xdr:spPr>
        <a:xfrm>
          <a:off x="1032369" y="1121322"/>
          <a:ext cx="0" cy="7668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306551</xdr:colOff>
      <xdr:row>6</xdr:row>
      <xdr:rowOff>65690</xdr:rowOff>
    </xdr:from>
    <xdr:to>
      <xdr:col>1</xdr:col>
      <xdr:colOff>339317</xdr:colOff>
      <xdr:row>8</xdr:row>
      <xdr:rowOff>328369</xdr:rowOff>
    </xdr:to>
    <xdr:pic>
      <xdr:nvPicPr>
        <xdr:cNvPr id="46" name="Picture 4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06551" y="1182414"/>
          <a:ext cx="634921" cy="634921"/>
        </a:xfrm>
        <a:prstGeom prst="rect">
          <a:avLst/>
        </a:prstGeom>
      </xdr:spPr>
    </xdr:pic>
    <xdr:clientData/>
  </xdr:twoCellAnchor>
  <xdr:twoCellAnchor>
    <xdr:from>
      <xdr:col>5</xdr:col>
      <xdr:colOff>359540</xdr:colOff>
      <xdr:row>6</xdr:row>
      <xdr:rowOff>31091</xdr:rowOff>
    </xdr:from>
    <xdr:to>
      <xdr:col>5</xdr:col>
      <xdr:colOff>359540</xdr:colOff>
      <xdr:row>9</xdr:row>
      <xdr:rowOff>96780</xdr:rowOff>
    </xdr:to>
    <xdr:cxnSp macro="">
      <xdr:nvCxnSpPr>
        <xdr:cNvPr id="47" name="Straight Connector 46"/>
        <xdr:cNvCxnSpPr/>
      </xdr:nvCxnSpPr>
      <xdr:spPr>
        <a:xfrm>
          <a:off x="3957873" y="1142341"/>
          <a:ext cx="0" cy="7668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314869</xdr:colOff>
      <xdr:row>6</xdr:row>
      <xdr:rowOff>8318</xdr:rowOff>
    </xdr:from>
    <xdr:to>
      <xdr:col>9</xdr:col>
      <xdr:colOff>314869</xdr:colOff>
      <xdr:row>9</xdr:row>
      <xdr:rowOff>74007</xdr:rowOff>
    </xdr:to>
    <xdr:cxnSp macro="">
      <xdr:nvCxnSpPr>
        <xdr:cNvPr id="48" name="Straight Connector 47"/>
        <xdr:cNvCxnSpPr/>
      </xdr:nvCxnSpPr>
      <xdr:spPr>
        <a:xfrm>
          <a:off x="6955911" y="1119568"/>
          <a:ext cx="0" cy="7668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405088</xdr:colOff>
      <xdr:row>6</xdr:row>
      <xdr:rowOff>87586</xdr:rowOff>
    </xdr:from>
    <xdr:to>
      <xdr:col>14</xdr:col>
      <xdr:colOff>426906</xdr:colOff>
      <xdr:row>9</xdr:row>
      <xdr:rowOff>21817</xdr:rowOff>
    </xdr:to>
    <xdr:pic>
      <xdr:nvPicPr>
        <xdr:cNvPr id="50" name="Picture 49"/>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25002" y="1204310"/>
          <a:ext cx="634921" cy="634921"/>
        </a:xfrm>
        <a:prstGeom prst="rect">
          <a:avLst/>
        </a:prstGeom>
      </xdr:spPr>
    </xdr:pic>
    <xdr:clientData/>
  </xdr:twoCellAnchor>
  <xdr:twoCellAnchor editAs="oneCell">
    <xdr:from>
      <xdr:col>8</xdr:col>
      <xdr:colOff>262757</xdr:colOff>
      <xdr:row>6</xdr:row>
      <xdr:rowOff>164224</xdr:rowOff>
    </xdr:from>
    <xdr:to>
      <xdr:col>9</xdr:col>
      <xdr:colOff>259178</xdr:colOff>
      <xdr:row>9</xdr:row>
      <xdr:rowOff>73058</xdr:rowOff>
    </xdr:to>
    <xdr:pic>
      <xdr:nvPicPr>
        <xdr:cNvPr id="51" name="Picture 50"/>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317154" y="1280948"/>
          <a:ext cx="609524" cy="609524"/>
        </a:xfrm>
        <a:prstGeom prst="rect">
          <a:avLst/>
        </a:prstGeom>
      </xdr:spPr>
    </xdr:pic>
    <xdr:clientData/>
  </xdr:twoCellAnchor>
  <xdr:twoCellAnchor>
    <xdr:from>
      <xdr:col>14</xdr:col>
      <xdr:colOff>500991</xdr:colOff>
      <xdr:row>5</xdr:row>
      <xdr:rowOff>172543</xdr:rowOff>
    </xdr:from>
    <xdr:to>
      <xdr:col>14</xdr:col>
      <xdr:colOff>500991</xdr:colOff>
      <xdr:row>9</xdr:row>
      <xdr:rowOff>52111</xdr:rowOff>
    </xdr:to>
    <xdr:cxnSp macro="">
      <xdr:nvCxnSpPr>
        <xdr:cNvPr id="52" name="Straight Connector 51"/>
        <xdr:cNvCxnSpPr/>
      </xdr:nvCxnSpPr>
      <xdr:spPr>
        <a:xfrm>
          <a:off x="10184741" y="1098585"/>
          <a:ext cx="0" cy="7659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586022</xdr:colOff>
      <xdr:row>5</xdr:row>
      <xdr:rowOff>153853</xdr:rowOff>
    </xdr:from>
    <xdr:to>
      <xdr:col>19</xdr:col>
      <xdr:colOff>60504</xdr:colOff>
      <xdr:row>8</xdr:row>
      <xdr:rowOff>121007</xdr:rowOff>
    </xdr:to>
    <xdr:sp macro="" textlink="">
      <xdr:nvSpPr>
        <xdr:cNvPr id="53" name="TextBox 52"/>
        <xdr:cNvSpPr txBox="1"/>
      </xdr:nvSpPr>
      <xdr:spPr>
        <a:xfrm>
          <a:off x="10595627" y="1072932"/>
          <a:ext cx="2524153" cy="518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AVG  PROFIT MARGIN</a:t>
          </a:r>
        </a:p>
      </xdr:txBody>
    </xdr:sp>
    <xdr:clientData/>
  </xdr:twoCellAnchor>
  <xdr:twoCellAnchor>
    <xdr:from>
      <xdr:col>0</xdr:col>
      <xdr:colOff>158751</xdr:colOff>
      <xdr:row>13</xdr:row>
      <xdr:rowOff>57150</xdr:rowOff>
    </xdr:from>
    <xdr:to>
      <xdr:col>6</xdr:col>
      <xdr:colOff>196850</xdr:colOff>
      <xdr:row>25</xdr:row>
      <xdr:rowOff>113975</xdr:rowOff>
    </xdr:to>
    <xdr:graphicFrame macro="">
      <xdr:nvGraphicFramePr>
        <xdr:cNvPr id="62" name="revenue by product"/>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43979</xdr:colOff>
      <xdr:row>12</xdr:row>
      <xdr:rowOff>144478</xdr:rowOff>
    </xdr:from>
    <xdr:to>
      <xdr:col>13</xdr:col>
      <xdr:colOff>326462</xdr:colOff>
      <xdr:row>25</xdr:row>
      <xdr:rowOff>97693</xdr:rowOff>
    </xdr:to>
    <xdr:graphicFrame macro="">
      <xdr:nvGraphicFramePr>
        <xdr:cNvPr id="64" name="Top Reg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561731</xdr:colOff>
      <xdr:row>27</xdr:row>
      <xdr:rowOff>117150</xdr:rowOff>
    </xdr:from>
    <xdr:to>
      <xdr:col>19</xdr:col>
      <xdr:colOff>26831</xdr:colOff>
      <xdr:row>39</xdr:row>
      <xdr:rowOff>141113</xdr:rowOff>
    </xdr:to>
    <xdr:graphicFrame macro="">
      <xdr:nvGraphicFramePr>
        <xdr:cNvPr id="67" name="Payment metho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131999</xdr:colOff>
      <xdr:row>11</xdr:row>
      <xdr:rowOff>25401</xdr:rowOff>
    </xdr:from>
    <xdr:to>
      <xdr:col>5</xdr:col>
      <xdr:colOff>1187450</xdr:colOff>
      <xdr:row>12</xdr:row>
      <xdr:rowOff>69850</xdr:rowOff>
    </xdr:to>
    <xdr:sp macro="" textlink="">
      <xdr:nvSpPr>
        <xdr:cNvPr id="68" name="Rectangle 67"/>
        <xdr:cNvSpPr/>
      </xdr:nvSpPr>
      <xdr:spPr>
        <a:xfrm>
          <a:off x="131999" y="2197101"/>
          <a:ext cx="4655901" cy="228599"/>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800" b="1"/>
            <a:t>Revenue</a:t>
          </a:r>
          <a:r>
            <a:rPr lang="en-US" sz="1800" b="1" baseline="0"/>
            <a:t> </a:t>
          </a:r>
          <a:r>
            <a:rPr lang="en-US" sz="1600" b="1" baseline="0"/>
            <a:t>by</a:t>
          </a:r>
          <a:r>
            <a:rPr lang="en-US" sz="1800" b="1" baseline="0"/>
            <a:t> Product</a:t>
          </a:r>
          <a:endParaRPr lang="en-US" sz="1800" b="1"/>
        </a:p>
      </xdr:txBody>
    </xdr:sp>
    <xdr:clientData/>
  </xdr:twoCellAnchor>
  <xdr:twoCellAnchor editAs="oneCell">
    <xdr:from>
      <xdr:col>19</xdr:col>
      <xdr:colOff>108085</xdr:colOff>
      <xdr:row>28</xdr:row>
      <xdr:rowOff>36325</xdr:rowOff>
    </xdr:from>
    <xdr:to>
      <xdr:col>22</xdr:col>
      <xdr:colOff>270213</xdr:colOff>
      <xdr:row>39</xdr:row>
      <xdr:rowOff>134155</xdr:rowOff>
    </xdr:to>
    <mc:AlternateContent xmlns:mc="http://schemas.openxmlformats.org/markup-compatibility/2006" xmlns:a14="http://schemas.microsoft.com/office/drawing/2010/main">
      <mc:Choice Requires="a14">
        <xdr:graphicFrame macro="">
          <xdr:nvGraphicFramePr>
            <xdr:cNvPr id="49" name="Month 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3120700" y="5380094"/>
              <a:ext cx="1979205" cy="2139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571905</xdr:colOff>
      <xdr:row>26</xdr:row>
      <xdr:rowOff>1017</xdr:rowOff>
    </xdr:from>
    <xdr:to>
      <xdr:col>19</xdr:col>
      <xdr:colOff>17887</xdr:colOff>
      <xdr:row>27</xdr:row>
      <xdr:rowOff>107324</xdr:rowOff>
    </xdr:to>
    <xdr:sp macro="" textlink="">
      <xdr:nvSpPr>
        <xdr:cNvPr id="3" name="Rectangle 2"/>
        <xdr:cNvSpPr/>
      </xdr:nvSpPr>
      <xdr:spPr>
        <a:xfrm>
          <a:off x="8147187" y="5027355"/>
          <a:ext cx="4919503" cy="294124"/>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bg1"/>
              </a:solidFill>
            </a:rPr>
            <a:t>PAYMENT</a:t>
          </a:r>
          <a:r>
            <a:rPr lang="en-US" sz="1400" b="1" baseline="0">
              <a:solidFill>
                <a:schemeClr val="bg1"/>
              </a:solidFill>
            </a:rPr>
            <a:t> METHOD DISTRIBUTION</a:t>
          </a:r>
          <a:endParaRPr lang="en-US" sz="1400" b="1">
            <a:solidFill>
              <a:schemeClr val="bg1"/>
            </a:solidFill>
          </a:endParaRPr>
        </a:p>
      </xdr:txBody>
    </xdr:sp>
    <xdr:clientData/>
  </xdr:twoCellAnchor>
  <xdr:twoCellAnchor>
    <xdr:from>
      <xdr:col>2</xdr:col>
      <xdr:colOff>142373</xdr:colOff>
      <xdr:row>7</xdr:row>
      <xdr:rowOff>66842</xdr:rowOff>
    </xdr:from>
    <xdr:to>
      <xdr:col>5</xdr:col>
      <xdr:colOff>284078</xdr:colOff>
      <xdr:row>10</xdr:row>
      <xdr:rowOff>91908</xdr:rowOff>
    </xdr:to>
    <xdr:sp macro="" textlink="$F$43">
      <xdr:nvSpPr>
        <xdr:cNvPr id="4" name="TextBox 3"/>
        <xdr:cNvSpPr txBox="1"/>
      </xdr:nvSpPr>
      <xdr:spPr>
        <a:xfrm>
          <a:off x="1348873" y="1355892"/>
          <a:ext cx="2535655" cy="723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D084DC-8F0A-4411-884F-538FA9FCEB8C}" type="TxLink">
            <a:rPr lang="en-US" sz="2400" b="1" i="0" u="none" strike="noStrike">
              <a:solidFill>
                <a:schemeClr val="accent3">
                  <a:lumMod val="20000"/>
                  <a:lumOff val="80000"/>
                </a:schemeClr>
              </a:solidFill>
              <a:latin typeface="Calibri"/>
              <a:ea typeface="Calibri"/>
              <a:cs typeface="Calibri"/>
            </a:rPr>
            <a:pPr/>
            <a:t>33.3 M</a:t>
          </a:fld>
          <a:endParaRPr lang="en-US" sz="2400" b="1">
            <a:solidFill>
              <a:schemeClr val="accent3">
                <a:lumMod val="20000"/>
                <a:lumOff val="80000"/>
              </a:schemeClr>
            </a:solidFill>
          </a:endParaRPr>
        </a:p>
      </xdr:txBody>
    </xdr:sp>
    <xdr:clientData/>
  </xdr:twoCellAnchor>
  <xdr:twoCellAnchor>
    <xdr:from>
      <xdr:col>14</xdr:col>
      <xdr:colOff>599157</xdr:colOff>
      <xdr:row>7</xdr:row>
      <xdr:rowOff>81856</xdr:rowOff>
    </xdr:from>
    <xdr:to>
      <xdr:col>18</xdr:col>
      <xdr:colOff>131262</xdr:colOff>
      <xdr:row>9</xdr:row>
      <xdr:rowOff>15014</xdr:rowOff>
    </xdr:to>
    <xdr:sp macro="" textlink="$E$43">
      <xdr:nvSpPr>
        <xdr:cNvPr id="5" name="TextBox 4"/>
        <xdr:cNvSpPr txBox="1"/>
      </xdr:nvSpPr>
      <xdr:spPr>
        <a:xfrm>
          <a:off x="10593505" y="1370262"/>
          <a:ext cx="1961670" cy="448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B82C6F-352B-4D0D-AD54-4C506C9D4E71}" type="TxLink">
            <a:rPr lang="en-US" sz="2400" b="1" i="0" u="none" strike="noStrike">
              <a:solidFill>
                <a:schemeClr val="accent3">
                  <a:lumMod val="20000"/>
                  <a:lumOff val="80000"/>
                </a:schemeClr>
              </a:solidFill>
              <a:latin typeface="Calibri"/>
              <a:ea typeface="Calibri"/>
              <a:cs typeface="Calibri"/>
            </a:rPr>
            <a:pPr/>
            <a:t>18%</a:t>
          </a:fld>
          <a:endParaRPr lang="en-US" sz="2400" b="1">
            <a:solidFill>
              <a:schemeClr val="accent3">
                <a:lumMod val="20000"/>
                <a:lumOff val="80000"/>
              </a:schemeClr>
            </a:solidFill>
          </a:endParaRPr>
        </a:p>
      </xdr:txBody>
    </xdr:sp>
    <xdr:clientData/>
  </xdr:twoCellAnchor>
  <xdr:twoCellAnchor>
    <xdr:from>
      <xdr:col>9</xdr:col>
      <xdr:colOff>451185</xdr:colOff>
      <xdr:row>7</xdr:row>
      <xdr:rowOff>125329</xdr:rowOff>
    </xdr:from>
    <xdr:to>
      <xdr:col>11</xdr:col>
      <xdr:colOff>584868</xdr:colOff>
      <xdr:row>8</xdr:row>
      <xdr:rowOff>300790</xdr:rowOff>
    </xdr:to>
    <xdr:sp macro="" textlink="$D$43">
      <xdr:nvSpPr>
        <xdr:cNvPr id="8" name="TextBox 7"/>
        <xdr:cNvSpPr txBox="1"/>
      </xdr:nvSpPr>
      <xdr:spPr>
        <a:xfrm>
          <a:off x="7411119" y="1412040"/>
          <a:ext cx="1353552" cy="359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C0D728-9056-4059-93F2-A536516B4CF2}" type="TxLink">
            <a:rPr lang="en-US" sz="2400" b="1" i="0" u="none" strike="noStrike">
              <a:solidFill>
                <a:schemeClr val="accent3">
                  <a:lumMod val="20000"/>
                  <a:lumOff val="80000"/>
                </a:schemeClr>
              </a:solidFill>
              <a:latin typeface="Calibri"/>
              <a:ea typeface="Calibri"/>
              <a:cs typeface="Calibri"/>
            </a:rPr>
            <a:pPr/>
            <a:t>925</a:t>
          </a:fld>
          <a:endParaRPr lang="en-US" sz="2400" b="1">
            <a:solidFill>
              <a:schemeClr val="accent3">
                <a:lumMod val="20000"/>
                <a:lumOff val="80000"/>
              </a:schemeClr>
            </a:solidFill>
          </a:endParaRPr>
        </a:p>
      </xdr:txBody>
    </xdr:sp>
    <xdr:clientData/>
  </xdr:twoCellAnchor>
  <xdr:twoCellAnchor>
    <xdr:from>
      <xdr:col>0</xdr:col>
      <xdr:colOff>139863</xdr:colOff>
      <xdr:row>27</xdr:row>
      <xdr:rowOff>97693</xdr:rowOff>
    </xdr:from>
    <xdr:to>
      <xdr:col>10</xdr:col>
      <xdr:colOff>529168</xdr:colOff>
      <xdr:row>29</xdr:row>
      <xdr:rowOff>0</xdr:rowOff>
    </xdr:to>
    <xdr:sp macro="" textlink="">
      <xdr:nvSpPr>
        <xdr:cNvPr id="12" name="TextBox 11"/>
        <xdr:cNvSpPr txBox="1"/>
      </xdr:nvSpPr>
      <xdr:spPr>
        <a:xfrm>
          <a:off x="139863" y="5299808"/>
          <a:ext cx="7968600" cy="276795"/>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Sales</a:t>
          </a:r>
          <a:r>
            <a:rPr lang="en-US" sz="1100" b="1" baseline="0">
              <a:solidFill>
                <a:schemeClr val="bg1"/>
              </a:solidFill>
              <a:effectLst/>
              <a:latin typeface="+mn-lt"/>
              <a:ea typeface="+mn-ea"/>
              <a:cs typeface="+mn-cs"/>
            </a:rPr>
            <a:t> peak in March and September, with a major mid-year dip in June with 9.44% Monthly CGAR.</a:t>
          </a:r>
          <a:r>
            <a:rPr lang="en-US" sz="1100" b="1">
              <a:solidFill>
                <a:schemeClr val="bg1"/>
              </a:solidFill>
              <a:effectLst/>
              <a:latin typeface="+mn-lt"/>
              <a:ea typeface="+mn-ea"/>
              <a:cs typeface="+mn-cs"/>
            </a:rPr>
            <a:t>            </a:t>
          </a:r>
          <a:endParaRPr lang="en-US" b="1">
            <a:solidFill>
              <a:schemeClr val="bg1"/>
            </a:solidFill>
            <a:effectLst/>
          </a:endParaRPr>
        </a:p>
      </xdr:txBody>
    </xdr:sp>
    <xdr:clientData/>
  </xdr:twoCellAnchor>
  <xdr:twoCellAnchor>
    <xdr:from>
      <xdr:col>0</xdr:col>
      <xdr:colOff>130255</xdr:colOff>
      <xdr:row>12</xdr:row>
      <xdr:rowOff>73432</xdr:rowOff>
    </xdr:from>
    <xdr:to>
      <xdr:col>5</xdr:col>
      <xdr:colOff>1188589</xdr:colOff>
      <xdr:row>13</xdr:row>
      <xdr:rowOff>105833</xdr:rowOff>
    </xdr:to>
    <xdr:sp macro="" textlink="">
      <xdr:nvSpPr>
        <xdr:cNvPr id="13" name="TextBox 12"/>
        <xdr:cNvSpPr txBox="1"/>
      </xdr:nvSpPr>
      <xdr:spPr>
        <a:xfrm>
          <a:off x="130255" y="2466894"/>
          <a:ext cx="4656667" cy="219644"/>
        </a:xfrm>
        <a:prstGeom prst="rect">
          <a:avLst/>
        </a:prstGeom>
        <a:solidFill>
          <a:schemeClr val="tx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Laptop Lead product</a:t>
          </a:r>
          <a:r>
            <a:rPr lang="en-US" sz="1100" b="1" baseline="0">
              <a:solidFill>
                <a:schemeClr val="bg1"/>
              </a:solidFill>
            </a:rPr>
            <a:t> revenue.</a:t>
          </a:r>
          <a:endParaRPr lang="en-US" sz="1100" b="1">
            <a:solidFill>
              <a:schemeClr val="bg1"/>
            </a:solidFill>
          </a:endParaRPr>
        </a:p>
      </xdr:txBody>
    </xdr:sp>
    <xdr:clientData/>
  </xdr:twoCellAnchor>
  <xdr:twoCellAnchor>
    <xdr:from>
      <xdr:col>6</xdr:col>
      <xdr:colOff>8217</xdr:colOff>
      <xdr:row>12</xdr:row>
      <xdr:rowOff>81408</xdr:rowOff>
    </xdr:from>
    <xdr:to>
      <xdr:col>13</xdr:col>
      <xdr:colOff>234054</xdr:colOff>
      <xdr:row>13</xdr:row>
      <xdr:rowOff>105832</xdr:rowOff>
    </xdr:to>
    <xdr:sp macro="" textlink="">
      <xdr:nvSpPr>
        <xdr:cNvPr id="54" name="Rectangle 53"/>
        <xdr:cNvSpPr/>
      </xdr:nvSpPr>
      <xdr:spPr>
        <a:xfrm>
          <a:off x="4819563" y="2474870"/>
          <a:ext cx="4825517" cy="211667"/>
        </a:xfrm>
        <a:prstGeom prst="rect">
          <a:avLst/>
        </a:prstGeom>
        <a:solidFill>
          <a:schemeClr val="tx2">
            <a:lumMod val="50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100" b="1">
              <a:solidFill>
                <a:schemeClr val="bg1"/>
              </a:solidFill>
            </a:rPr>
            <a:t>Lahore</a:t>
          </a:r>
          <a:r>
            <a:rPr lang="en-US" sz="1100" b="1" baseline="0">
              <a:solidFill>
                <a:schemeClr val="bg1"/>
              </a:solidFill>
            </a:rPr>
            <a:t> is the highest revenue generating region. </a:t>
          </a:r>
          <a:endParaRPr lang="en-US" sz="1100" b="1">
            <a:solidFill>
              <a:schemeClr val="bg1"/>
            </a:solidFill>
          </a:endParaRPr>
        </a:p>
      </xdr:txBody>
    </xdr:sp>
    <xdr:clientData/>
  </xdr:twoCellAnchor>
  <xdr:twoCellAnchor>
    <xdr:from>
      <xdr:col>13</xdr:col>
      <xdr:colOff>260512</xdr:colOff>
      <xdr:row>11</xdr:row>
      <xdr:rowOff>16281</xdr:rowOff>
    </xdr:from>
    <xdr:to>
      <xdr:col>19</xdr:col>
      <xdr:colOff>32564</xdr:colOff>
      <xdr:row>24</xdr:row>
      <xdr:rowOff>81409</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250423</xdr:colOff>
      <xdr:row>11</xdr:row>
      <xdr:rowOff>31087</xdr:rowOff>
    </xdr:from>
    <xdr:to>
      <xdr:col>19</xdr:col>
      <xdr:colOff>26831</xdr:colOff>
      <xdr:row>12</xdr:row>
      <xdr:rowOff>71550</xdr:rowOff>
    </xdr:to>
    <xdr:sp macro="" textlink="">
      <xdr:nvSpPr>
        <xdr:cNvPr id="57" name="Rectangle 56"/>
        <xdr:cNvSpPr/>
      </xdr:nvSpPr>
      <xdr:spPr>
        <a:xfrm>
          <a:off x="9650212" y="2240172"/>
          <a:ext cx="3425422" cy="228279"/>
        </a:xfrm>
        <a:prstGeom prst="rect">
          <a:avLst/>
        </a:prstGeom>
        <a:solidFill>
          <a:schemeClr val="tx2">
            <a:lumMod val="50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600" b="1">
              <a:solidFill>
                <a:schemeClr val="bg1"/>
              </a:solidFill>
            </a:rPr>
            <a:t>Customer</a:t>
          </a:r>
          <a:r>
            <a:rPr lang="en-US" sz="1600" b="1" baseline="0">
              <a:solidFill>
                <a:schemeClr val="bg1"/>
              </a:solidFill>
            </a:rPr>
            <a:t> Type Revenue Split</a:t>
          </a:r>
          <a:endParaRPr lang="en-US" sz="1600" b="1">
            <a:solidFill>
              <a:schemeClr val="bg1"/>
            </a:solidFill>
          </a:endParaRPr>
        </a:p>
      </xdr:txBody>
    </xdr:sp>
    <xdr:clientData/>
  </xdr:twoCellAnchor>
  <xdr:twoCellAnchor>
    <xdr:from>
      <xdr:col>13</xdr:col>
      <xdr:colOff>249365</xdr:colOff>
      <xdr:row>12</xdr:row>
      <xdr:rowOff>61371</xdr:rowOff>
    </xdr:from>
    <xdr:to>
      <xdr:col>19</xdr:col>
      <xdr:colOff>26831</xdr:colOff>
      <xdr:row>13</xdr:row>
      <xdr:rowOff>98381</xdr:rowOff>
    </xdr:to>
    <xdr:sp macro="" textlink="">
      <xdr:nvSpPr>
        <xdr:cNvPr id="58" name="Rectangle 57"/>
        <xdr:cNvSpPr/>
      </xdr:nvSpPr>
      <xdr:spPr>
        <a:xfrm>
          <a:off x="9649154" y="2458272"/>
          <a:ext cx="3426480" cy="224827"/>
        </a:xfrm>
        <a:prstGeom prst="rect">
          <a:avLst/>
        </a:prstGeom>
        <a:solidFill>
          <a:schemeClr val="tx2">
            <a:lumMod val="50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p>
          <a:pPr algn="ctr"/>
          <a:r>
            <a:rPr lang="en-US" sz="1100" b="1" baseline="0">
              <a:solidFill>
                <a:schemeClr val="bg1"/>
              </a:solidFill>
            </a:rPr>
            <a:t>52.5% revenue from New vs 47.5% Returning.</a:t>
          </a:r>
          <a:endParaRPr lang="en-US" sz="1100" b="1">
            <a:solidFill>
              <a:schemeClr val="bg1"/>
            </a:solidFill>
          </a:endParaRPr>
        </a:p>
      </xdr:txBody>
    </xdr:sp>
    <xdr:clientData/>
  </xdr:twoCellAnchor>
  <xdr:twoCellAnchor>
    <xdr:from>
      <xdr:col>10</xdr:col>
      <xdr:colOff>569626</xdr:colOff>
      <xdr:row>27</xdr:row>
      <xdr:rowOff>88289</xdr:rowOff>
    </xdr:from>
    <xdr:to>
      <xdr:col>19</xdr:col>
      <xdr:colOff>22144</xdr:colOff>
      <xdr:row>28</xdr:row>
      <xdr:rowOff>179103</xdr:rowOff>
    </xdr:to>
    <xdr:sp macro="" textlink="">
      <xdr:nvSpPr>
        <xdr:cNvPr id="59" name="Rectangle 58"/>
        <xdr:cNvSpPr/>
      </xdr:nvSpPr>
      <xdr:spPr>
        <a:xfrm>
          <a:off x="8148921" y="5290404"/>
          <a:ext cx="4947710" cy="278058"/>
        </a:xfrm>
        <a:prstGeom prst="rect">
          <a:avLst/>
        </a:prstGeom>
        <a:solidFill>
          <a:schemeClr val="tx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Cashless</a:t>
          </a:r>
          <a:r>
            <a:rPr lang="en-US" sz="1100" b="1" baseline="0">
              <a:solidFill>
                <a:schemeClr val="bg1"/>
              </a:solidFill>
            </a:rPr>
            <a:t> Payment dominate transactions</a:t>
          </a:r>
          <a:endParaRPr lang="en-US" sz="1100" b="1">
            <a:solidFill>
              <a:schemeClr val="bg1"/>
            </a:solidFill>
          </a:endParaRPr>
        </a:p>
      </xdr:txBody>
    </xdr:sp>
    <xdr:clientData/>
  </xdr:twoCellAnchor>
  <xdr:twoCellAnchor editAs="oneCell">
    <xdr:from>
      <xdr:col>29</xdr:col>
      <xdr:colOff>141111</xdr:colOff>
      <xdr:row>6</xdr:row>
      <xdr:rowOff>127000</xdr:rowOff>
    </xdr:from>
    <xdr:to>
      <xdr:col>30</xdr:col>
      <xdr:colOff>493761</xdr:colOff>
      <xdr:row>10</xdr:row>
      <xdr:rowOff>42332</xdr:rowOff>
    </xdr:to>
    <xdr:pic>
      <xdr:nvPicPr>
        <xdr:cNvPr id="14" name="Picture 13"/>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9219333" y="1227667"/>
          <a:ext cx="959428" cy="7902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ISMILLAH COMP" refreshedDate="46203.648882870373" createdVersion="5" refreshedVersion="6" minRefreshableVersion="3" recordCount="89">
  <cacheSource type="worksheet">
    <worksheetSource ref="A1:R90" sheet="clean_sales data"/>
  </cacheSource>
  <cacheFields count="18">
    <cacheField name="Order ID" numFmtId="0">
      <sharedItems/>
    </cacheField>
    <cacheField name="Date" numFmtId="166">
      <sharedItems/>
    </cacheField>
    <cacheField name="Salesperson" numFmtId="0">
      <sharedItems count="10">
        <s v="Sara Khan"/>
        <s v="Nadia Iqbal"/>
        <s v="Kamran Sheikh"/>
        <s v="Ahmed Ali"/>
        <s v="Fatima Malik"/>
        <s v="Usman Raza"/>
        <s v="Bilal Hussain"/>
        <s v="Hassan Mirza"/>
        <s v="Ayesha Siddiqui"/>
        <s v="Zara Butt"/>
      </sharedItems>
    </cacheField>
    <cacheField name="Region" numFmtId="0">
      <sharedItems count="8">
        <s v="Faisalabad"/>
        <s v="Quetta"/>
        <s v="Rawalpindi"/>
        <s v="Peshawar"/>
        <s v="Karachi"/>
        <s v="Islamabad"/>
        <s v="Multan"/>
        <s v="Lahore"/>
      </sharedItems>
    </cacheField>
    <cacheField name="Category" numFmtId="0">
      <sharedItems/>
    </cacheField>
    <cacheField name="Product Name" numFmtId="0">
      <sharedItems count="5">
        <s v="Mobile Phone"/>
        <s v="Headphones"/>
        <s v="Laptop"/>
        <s v="Smartwatch"/>
        <s v="Tablet"/>
      </sharedItems>
    </cacheField>
    <cacheField name="Units Sold" numFmtId="0">
      <sharedItems containsSemiMixedTypes="0" containsString="0" containsNumber="1" containsInteger="1" minValue="1" maxValue="20"/>
    </cacheField>
    <cacheField name="Unit Price (PKR)" numFmtId="0">
      <sharedItems containsSemiMixedTypes="0" containsString="0" containsNumber="1" containsInteger="1" minValue="5000" maxValue="85000"/>
    </cacheField>
    <cacheField name="Discount %" numFmtId="0">
      <sharedItems containsSemiMixedTypes="0" containsString="0" containsNumber="1" containsInteger="1" minValue="0" maxValue="25"/>
    </cacheField>
    <cacheField name="Total Revenue (PKR)" numFmtId="0">
      <sharedItems containsSemiMixedTypes="0" containsString="0" containsNumber="1" containsInteger="1" minValue="4500" maxValue="1372750"/>
    </cacheField>
    <cacheField name="Cost Price (Unit)" numFmtId="0">
      <sharedItems containsSemiMixedTypes="0" containsString="0" containsNumber="1" containsInteger="1" minValue="3000" maxValue="65000"/>
    </cacheField>
    <cacheField name="Total Cost (PKR)" numFmtId="0">
      <sharedItems containsSemiMixedTypes="0" containsString="0" containsNumber="1" containsInteger="1" minValue="3000" maxValue="1300000"/>
    </cacheField>
    <cacheField name="Profit (PKR)" numFmtId="0">
      <sharedItems containsSemiMixedTypes="0" containsString="0" containsNumber="1" containsInteger="1" minValue="-25000" maxValue="180000"/>
    </cacheField>
    <cacheField name="Margin" numFmtId="9">
      <sharedItems containsSemiMixedTypes="0" containsString="0" containsNumber="1" minValue="-1.9607843137254902E-2" maxValue="0.4"/>
    </cacheField>
    <cacheField name="Customer Type" numFmtId="0">
      <sharedItems count="2">
        <s v="New"/>
        <s v="Returning"/>
      </sharedItems>
    </cacheField>
    <cacheField name="Payment Method" numFmtId="0">
      <sharedItems count="6">
        <s v="EasyPaisa"/>
        <s v="Cash"/>
        <s v="Bank Transfer"/>
        <s v="Debit Card"/>
        <s v="JazzCash"/>
        <s v="Credit Card"/>
      </sharedItems>
    </cacheField>
    <cacheField name="Delivery Status" numFmtId="0">
      <sharedItems/>
    </cacheField>
    <cacheField name="Month" numFmtId="0">
      <sharedItems count="12">
        <s v="Oct"/>
        <s v="Jun"/>
        <s v="Mar"/>
        <s v="Nov"/>
        <s v="Feb"/>
        <s v="May"/>
        <s v="Apr"/>
        <s v="Dec"/>
        <s v="Jul"/>
        <s v="Aug"/>
        <s v="Jan"/>
        <s v="Sep"/>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9">
  <r>
    <s v="ORD-1002"/>
    <s v="2024-10-06"/>
    <x v="0"/>
    <x v="0"/>
    <s v="Electronics"/>
    <x v="0"/>
    <n v="3"/>
    <n v="25000"/>
    <n v="5"/>
    <n v="71250"/>
    <n v="18000"/>
    <n v="54000"/>
    <n v="17250"/>
    <n v="0.24210526315789499"/>
    <x v="0"/>
    <x v="0"/>
    <s v="Pending"/>
    <x v="0"/>
  </r>
  <r>
    <s v="ORD-1005"/>
    <s v="2024-06-25"/>
    <x v="1"/>
    <x v="1"/>
    <s v="Electronics"/>
    <x v="1"/>
    <n v="18"/>
    <n v="5000"/>
    <n v="0"/>
    <n v="90000"/>
    <n v="3000"/>
    <n v="54000"/>
    <n v="36000"/>
    <n v="0.4"/>
    <x v="1"/>
    <x v="1"/>
    <s v="Delivered"/>
    <x v="1"/>
  </r>
  <r>
    <s v="ORD-1012"/>
    <s v="2024-03-11"/>
    <x v="2"/>
    <x v="2"/>
    <s v="Electronics"/>
    <x v="0"/>
    <n v="4"/>
    <n v="25000"/>
    <n v="5"/>
    <n v="95000"/>
    <n v="18000"/>
    <n v="72000"/>
    <n v="23000"/>
    <n v="0.24210526315789499"/>
    <x v="0"/>
    <x v="2"/>
    <s v="Delivered"/>
    <x v="2"/>
  </r>
  <r>
    <s v="ORD-1021"/>
    <s v="2024-11-19"/>
    <x v="3"/>
    <x v="3"/>
    <s v="Electronics"/>
    <x v="0"/>
    <n v="11"/>
    <n v="25000"/>
    <n v="0"/>
    <n v="275000"/>
    <n v="18000"/>
    <n v="198000"/>
    <n v="77000"/>
    <n v="0.28000000000000003"/>
    <x v="0"/>
    <x v="3"/>
    <s v="Pending"/>
    <x v="3"/>
  </r>
  <r>
    <s v="ORD-1026"/>
    <s v="2024-11-29"/>
    <x v="2"/>
    <x v="4"/>
    <s v="Electronics"/>
    <x v="2"/>
    <n v="6"/>
    <n v="85000"/>
    <n v="15"/>
    <n v="433500"/>
    <n v="65000"/>
    <n v="390000"/>
    <n v="43500"/>
    <n v="0.100346020761246"/>
    <x v="1"/>
    <x v="4"/>
    <s v="Delivered"/>
    <x v="3"/>
  </r>
  <r>
    <s v="ORD-1030"/>
    <s v="2024-02-04"/>
    <x v="4"/>
    <x v="0"/>
    <s v="Electronics"/>
    <x v="3"/>
    <n v="8"/>
    <n v="15000"/>
    <n v="20"/>
    <n v="96000"/>
    <n v="10000"/>
    <n v="80000"/>
    <n v="16000"/>
    <n v="0.16666666666666699"/>
    <x v="0"/>
    <x v="0"/>
    <s v="Delivered"/>
    <x v="4"/>
  </r>
  <r>
    <s v="ORD-1041"/>
    <s v="2024-05-07"/>
    <x v="5"/>
    <x v="5"/>
    <s v="Electronics"/>
    <x v="1"/>
    <n v="2"/>
    <n v="5000"/>
    <n v="15"/>
    <n v="8500"/>
    <n v="3000"/>
    <n v="6000"/>
    <n v="2500"/>
    <n v="0.29411764705882398"/>
    <x v="0"/>
    <x v="5"/>
    <s v="Shipped"/>
    <x v="5"/>
  </r>
  <r>
    <s v="ORD-1044"/>
    <s v="2024-05-13"/>
    <x v="6"/>
    <x v="1"/>
    <s v="Electronics"/>
    <x v="0"/>
    <n v="20"/>
    <n v="25000"/>
    <n v="15"/>
    <n v="425000"/>
    <n v="18000"/>
    <n v="360000"/>
    <n v="65000"/>
    <n v="0.152941176470588"/>
    <x v="1"/>
    <x v="2"/>
    <s v="Shipped"/>
    <x v="5"/>
  </r>
  <r>
    <s v="ORD-1051"/>
    <s v="2024-04-11"/>
    <x v="6"/>
    <x v="4"/>
    <s v="Electronics"/>
    <x v="2"/>
    <n v="16"/>
    <n v="85000"/>
    <n v="20"/>
    <n v="1088000"/>
    <n v="65000"/>
    <n v="1040000"/>
    <n v="48000"/>
    <n v="4.4117647058823498E-2"/>
    <x v="0"/>
    <x v="4"/>
    <s v="Delivered"/>
    <x v="6"/>
  </r>
  <r>
    <s v="ORD-1057"/>
    <s v="2024-12-21"/>
    <x v="6"/>
    <x v="3"/>
    <s v="Electronics"/>
    <x v="1"/>
    <n v="14"/>
    <n v="5000"/>
    <n v="10"/>
    <n v="63000"/>
    <n v="3000"/>
    <n v="42000"/>
    <n v="21000"/>
    <n v="0.33333333333333298"/>
    <x v="1"/>
    <x v="4"/>
    <s v="Delivered"/>
    <x v="7"/>
  </r>
  <r>
    <s v="ORD-1066"/>
    <s v="2024-07-11"/>
    <x v="7"/>
    <x v="3"/>
    <s v="Electronics"/>
    <x v="3"/>
    <n v="8"/>
    <n v="15000"/>
    <n v="0"/>
    <n v="120000"/>
    <n v="10000"/>
    <n v="80000"/>
    <n v="40000"/>
    <n v="0.33333333333333298"/>
    <x v="1"/>
    <x v="2"/>
    <s v="Pending"/>
    <x v="8"/>
  </r>
  <r>
    <s v="ORD-1088"/>
    <s v="2024-08-09"/>
    <x v="8"/>
    <x v="1"/>
    <s v="Electronics"/>
    <x v="0"/>
    <n v="8"/>
    <n v="25000"/>
    <n v="25"/>
    <n v="150000"/>
    <n v="18000"/>
    <n v="144000"/>
    <n v="6000"/>
    <n v="0.04"/>
    <x v="0"/>
    <x v="2"/>
    <s v="Shipped"/>
    <x v="9"/>
  </r>
  <r>
    <s v="ORD-1095"/>
    <s v="2024-04-25"/>
    <x v="0"/>
    <x v="2"/>
    <s v="Electronics"/>
    <x v="2"/>
    <n v="16"/>
    <n v="85000"/>
    <n v="25"/>
    <n v="1020000"/>
    <n v="65000"/>
    <n v="1040000"/>
    <n v="-20000"/>
    <n v="-1.9607843137254902E-2"/>
    <x v="1"/>
    <x v="0"/>
    <s v="Pending"/>
    <x v="6"/>
  </r>
  <r>
    <s v="ORD-1101"/>
    <s v="2024-03-05"/>
    <x v="2"/>
    <x v="6"/>
    <s v="Electronics"/>
    <x v="1"/>
    <n v="4"/>
    <n v="5000"/>
    <n v="20"/>
    <n v="16000"/>
    <n v="3000"/>
    <n v="12000"/>
    <n v="4000"/>
    <n v="0.25"/>
    <x v="1"/>
    <x v="1"/>
    <s v="Pending"/>
    <x v="2"/>
  </r>
  <r>
    <s v="ORD-1105"/>
    <s v="2024-01-15"/>
    <x v="3"/>
    <x v="6"/>
    <s v="Electronics"/>
    <x v="4"/>
    <n v="12"/>
    <n v="35000"/>
    <n v="10"/>
    <n v="378000"/>
    <n v="26000"/>
    <n v="312000"/>
    <n v="66000"/>
    <n v="0.17460317460317501"/>
    <x v="1"/>
    <x v="5"/>
    <s v="Delivered"/>
    <x v="10"/>
  </r>
  <r>
    <s v="ORD-1108"/>
    <s v="2024-08-26"/>
    <x v="5"/>
    <x v="5"/>
    <s v="Electronics"/>
    <x v="1"/>
    <n v="12"/>
    <n v="5000"/>
    <n v="20"/>
    <n v="48000"/>
    <n v="3000"/>
    <n v="36000"/>
    <n v="12000"/>
    <n v="0.25"/>
    <x v="1"/>
    <x v="2"/>
    <s v="Cancelled"/>
    <x v="9"/>
  </r>
  <r>
    <s v="ORD-1112"/>
    <s v="2024-05-08"/>
    <x v="6"/>
    <x v="7"/>
    <s v="Electronics"/>
    <x v="4"/>
    <n v="15"/>
    <n v="35000"/>
    <n v="0"/>
    <n v="525000"/>
    <n v="26000"/>
    <n v="390000"/>
    <n v="135000"/>
    <n v="0.25714285714285701"/>
    <x v="1"/>
    <x v="2"/>
    <s v="Delivered"/>
    <x v="5"/>
  </r>
  <r>
    <s v="ORD-1115"/>
    <s v="2024-04-25"/>
    <x v="7"/>
    <x v="6"/>
    <s v="Electronics"/>
    <x v="1"/>
    <n v="1"/>
    <n v="5000"/>
    <n v="10"/>
    <n v="4500"/>
    <n v="3000"/>
    <n v="3000"/>
    <n v="1500"/>
    <n v="0.33333333333333298"/>
    <x v="0"/>
    <x v="4"/>
    <s v="Delivered"/>
    <x v="6"/>
  </r>
  <r>
    <s v="ORD-1117"/>
    <s v="2024-10-14"/>
    <x v="8"/>
    <x v="3"/>
    <s v="Electronics"/>
    <x v="1"/>
    <n v="10"/>
    <n v="5000"/>
    <n v="25"/>
    <n v="37500"/>
    <n v="3000"/>
    <n v="30000"/>
    <n v="7500"/>
    <n v="0.2"/>
    <x v="1"/>
    <x v="1"/>
    <s v="Delivered"/>
    <x v="0"/>
  </r>
  <r>
    <s v="ORD-1118"/>
    <s v="2024-01-20"/>
    <x v="5"/>
    <x v="2"/>
    <s v="Electronics"/>
    <x v="0"/>
    <n v="8"/>
    <n v="25000"/>
    <n v="20"/>
    <n v="160000"/>
    <n v="18000"/>
    <n v="144000"/>
    <n v="16000"/>
    <n v="0.1"/>
    <x v="0"/>
    <x v="4"/>
    <s v="Delivered"/>
    <x v="10"/>
  </r>
  <r>
    <s v="ORD-1121"/>
    <s v="2024-07-07"/>
    <x v="2"/>
    <x v="6"/>
    <s v="Electronics"/>
    <x v="1"/>
    <n v="9"/>
    <n v="5000"/>
    <n v="5"/>
    <n v="42750"/>
    <n v="3000"/>
    <n v="27000"/>
    <n v="15750"/>
    <n v="0.36842105263157898"/>
    <x v="0"/>
    <x v="4"/>
    <s v="Delivered"/>
    <x v="8"/>
  </r>
  <r>
    <s v="ORD-1122"/>
    <s v="2024-04-18"/>
    <x v="1"/>
    <x v="4"/>
    <s v="Electronics"/>
    <x v="4"/>
    <n v="8"/>
    <n v="35000"/>
    <n v="5"/>
    <n v="266000"/>
    <n v="26000"/>
    <n v="208000"/>
    <n v="58000"/>
    <n v="0.21804511278195499"/>
    <x v="0"/>
    <x v="1"/>
    <s v="Shipped"/>
    <x v="6"/>
  </r>
  <r>
    <s v="ORD-1125"/>
    <s v="2024-05-01"/>
    <x v="1"/>
    <x v="6"/>
    <s v="Electronics"/>
    <x v="2"/>
    <n v="9"/>
    <n v="85000"/>
    <n v="0"/>
    <n v="765000"/>
    <n v="65000"/>
    <n v="585000"/>
    <n v="180000"/>
    <n v="0.23529411764705899"/>
    <x v="0"/>
    <x v="2"/>
    <s v="Delivered"/>
    <x v="5"/>
  </r>
  <r>
    <s v="ORD-1128"/>
    <s v="2024-09-08"/>
    <x v="9"/>
    <x v="7"/>
    <s v="Electronics"/>
    <x v="4"/>
    <n v="20"/>
    <n v="35000"/>
    <n v="5"/>
    <n v="665000"/>
    <n v="26000"/>
    <n v="520000"/>
    <n v="145000"/>
    <n v="0.21804511278195499"/>
    <x v="0"/>
    <x v="5"/>
    <s v="Delivered"/>
    <x v="11"/>
  </r>
  <r>
    <s v="ORD-1132"/>
    <s v="2024-02-13"/>
    <x v="0"/>
    <x v="0"/>
    <s v="Electronics"/>
    <x v="4"/>
    <n v="5"/>
    <n v="35000"/>
    <n v="20"/>
    <n v="140000"/>
    <n v="26000"/>
    <n v="130000"/>
    <n v="10000"/>
    <n v="7.1428571428571397E-2"/>
    <x v="0"/>
    <x v="0"/>
    <s v="Cancelled"/>
    <x v="4"/>
  </r>
  <r>
    <s v="ORD-1137"/>
    <s v="2024-03-14"/>
    <x v="1"/>
    <x v="0"/>
    <s v="Electronics"/>
    <x v="2"/>
    <n v="1"/>
    <n v="85000"/>
    <n v="0"/>
    <n v="85000"/>
    <n v="65000"/>
    <n v="65000"/>
    <n v="20000"/>
    <n v="0.23529411764705899"/>
    <x v="0"/>
    <x v="4"/>
    <s v="Delivered"/>
    <x v="2"/>
  </r>
  <r>
    <s v="ORD-1142"/>
    <s v="2024-05-10"/>
    <x v="5"/>
    <x v="6"/>
    <s v="Electronics"/>
    <x v="0"/>
    <n v="16"/>
    <n v="25000"/>
    <n v="25"/>
    <n v="300000"/>
    <n v="18000"/>
    <n v="288000"/>
    <n v="12000"/>
    <n v="0.04"/>
    <x v="1"/>
    <x v="5"/>
    <s v="Delivered"/>
    <x v="5"/>
  </r>
  <r>
    <s v="ORD-1143"/>
    <s v="2024-09-29"/>
    <x v="4"/>
    <x v="6"/>
    <s v="Electronics"/>
    <x v="1"/>
    <n v="2"/>
    <n v="5000"/>
    <n v="15"/>
    <n v="8500"/>
    <n v="3000"/>
    <n v="6000"/>
    <n v="2500"/>
    <n v="0.29411764705882398"/>
    <x v="0"/>
    <x v="4"/>
    <s v="Cancelled"/>
    <x v="11"/>
  </r>
  <r>
    <s v="ORD-1148"/>
    <s v="2024-03-29"/>
    <x v="1"/>
    <x v="5"/>
    <s v="Electronics"/>
    <x v="2"/>
    <n v="16"/>
    <n v="85000"/>
    <n v="15"/>
    <n v="1156000"/>
    <n v="65000"/>
    <n v="1040000"/>
    <n v="116000"/>
    <n v="0.100346020761246"/>
    <x v="1"/>
    <x v="2"/>
    <s v="Cancelled"/>
    <x v="2"/>
  </r>
  <r>
    <s v="ORD-1151"/>
    <s v="2024-07-07"/>
    <x v="5"/>
    <x v="7"/>
    <s v="Electronics"/>
    <x v="3"/>
    <n v="20"/>
    <n v="15000"/>
    <n v="20"/>
    <n v="240000"/>
    <n v="10000"/>
    <n v="200000"/>
    <n v="40000"/>
    <n v="0.16666666666666699"/>
    <x v="1"/>
    <x v="4"/>
    <s v="Delivered"/>
    <x v="8"/>
  </r>
  <r>
    <s v="ORD-1153"/>
    <s v="2024-06-24"/>
    <x v="0"/>
    <x v="5"/>
    <s v="Electronics"/>
    <x v="2"/>
    <n v="15"/>
    <n v="85000"/>
    <n v="15"/>
    <n v="1083750"/>
    <n v="65000"/>
    <n v="975000"/>
    <n v="108750"/>
    <n v="0.100346020761246"/>
    <x v="0"/>
    <x v="3"/>
    <s v="Delivered"/>
    <x v="1"/>
  </r>
  <r>
    <s v="ORD-1164"/>
    <s v="2024-09-19"/>
    <x v="6"/>
    <x v="0"/>
    <s v="Electronics"/>
    <x v="2"/>
    <n v="15"/>
    <n v="85000"/>
    <n v="10"/>
    <n v="1147500"/>
    <n v="65000"/>
    <n v="975000"/>
    <n v="172500"/>
    <n v="0.15032679738562099"/>
    <x v="0"/>
    <x v="4"/>
    <s v="Delivered"/>
    <x v="11"/>
  </r>
  <r>
    <s v="ORD-1167"/>
    <s v="2024-11-11"/>
    <x v="3"/>
    <x v="7"/>
    <s v="Electronics"/>
    <x v="4"/>
    <n v="7"/>
    <n v="35000"/>
    <n v="5"/>
    <n v="232750"/>
    <n v="26000"/>
    <n v="182000"/>
    <n v="50750"/>
    <n v="0.21804511278195499"/>
    <x v="1"/>
    <x v="1"/>
    <s v="Shipped"/>
    <x v="3"/>
  </r>
  <r>
    <s v="ORD-1168"/>
    <s v="2024-05-01"/>
    <x v="5"/>
    <x v="7"/>
    <s v="Electronics"/>
    <x v="2"/>
    <n v="14"/>
    <n v="85000"/>
    <n v="25"/>
    <n v="892500"/>
    <n v="65000"/>
    <n v="910000"/>
    <n v="-17500"/>
    <n v="-1.9607843137254902E-2"/>
    <x v="1"/>
    <x v="1"/>
    <s v="Delivered"/>
    <x v="5"/>
  </r>
  <r>
    <s v="ORD-1175"/>
    <s v="2024-10-05"/>
    <x v="9"/>
    <x v="1"/>
    <s v="Electronics"/>
    <x v="2"/>
    <n v="10"/>
    <n v="85000"/>
    <n v="10"/>
    <n v="765000"/>
    <n v="65000"/>
    <n v="650000"/>
    <n v="115000"/>
    <n v="0.15032679738562099"/>
    <x v="0"/>
    <x v="2"/>
    <s v="Delivered"/>
    <x v="0"/>
  </r>
  <r>
    <s v="ORD-1177"/>
    <s v="2024-07-07"/>
    <x v="2"/>
    <x v="1"/>
    <s v="Electronics"/>
    <x v="1"/>
    <n v="3"/>
    <n v="5000"/>
    <n v="15"/>
    <n v="12750"/>
    <n v="3000"/>
    <n v="9000"/>
    <n v="3750"/>
    <n v="0.29411764705882398"/>
    <x v="0"/>
    <x v="0"/>
    <s v="Delivered"/>
    <x v="8"/>
  </r>
  <r>
    <s v="ORD-1180"/>
    <s v="2024-07-26"/>
    <x v="8"/>
    <x v="5"/>
    <s v="Electronics"/>
    <x v="2"/>
    <n v="20"/>
    <n v="85000"/>
    <n v="25"/>
    <n v="1275000"/>
    <n v="65000"/>
    <n v="1300000"/>
    <n v="-25000"/>
    <n v="-1.9607843137254902E-2"/>
    <x v="1"/>
    <x v="1"/>
    <s v="Delivered"/>
    <x v="8"/>
  </r>
  <r>
    <s v="ORD-1182"/>
    <s v="2024-07-08"/>
    <x v="8"/>
    <x v="2"/>
    <s v="Electronics"/>
    <x v="3"/>
    <n v="5"/>
    <n v="15000"/>
    <n v="20"/>
    <n v="60000"/>
    <n v="10000"/>
    <n v="50000"/>
    <n v="10000"/>
    <n v="0.16666666666666699"/>
    <x v="1"/>
    <x v="4"/>
    <s v="Delivered"/>
    <x v="8"/>
  </r>
  <r>
    <s v="ORD-1183"/>
    <s v="2024-05-22"/>
    <x v="4"/>
    <x v="7"/>
    <s v="Electronics"/>
    <x v="2"/>
    <n v="16"/>
    <n v="85000"/>
    <n v="20"/>
    <n v="1088000"/>
    <n v="65000"/>
    <n v="1040000"/>
    <n v="48000"/>
    <n v="4.4117647058823498E-2"/>
    <x v="1"/>
    <x v="0"/>
    <s v="Delivered"/>
    <x v="5"/>
  </r>
  <r>
    <s v="ORD-1185"/>
    <s v="2024-08-19"/>
    <x v="6"/>
    <x v="2"/>
    <s v="Electronics"/>
    <x v="4"/>
    <n v="12"/>
    <n v="35000"/>
    <n v="25"/>
    <n v="315000"/>
    <n v="26000"/>
    <n v="312000"/>
    <n v="3000"/>
    <n v="9.5238095238095195E-3"/>
    <x v="0"/>
    <x v="0"/>
    <s v="Delivered"/>
    <x v="9"/>
  </r>
  <r>
    <s v="ORD-1217"/>
    <s v="2024-09-28"/>
    <x v="4"/>
    <x v="3"/>
    <s v="Electronics"/>
    <x v="0"/>
    <n v="14"/>
    <n v="25000"/>
    <n v="10"/>
    <n v="315000"/>
    <n v="18000"/>
    <n v="252000"/>
    <n v="63000"/>
    <n v="0.2"/>
    <x v="1"/>
    <x v="1"/>
    <s v="Pending"/>
    <x v="11"/>
  </r>
  <r>
    <s v="ORD-1230"/>
    <s v="2024-03-25"/>
    <x v="8"/>
    <x v="2"/>
    <s v="Electronics"/>
    <x v="2"/>
    <n v="19"/>
    <n v="85000"/>
    <n v="15"/>
    <n v="1372750"/>
    <n v="65000"/>
    <n v="1235000"/>
    <n v="137750"/>
    <n v="0.100346020761246"/>
    <x v="0"/>
    <x v="0"/>
    <s v="Delivered"/>
    <x v="2"/>
  </r>
  <r>
    <s v="ORD-1233"/>
    <s v="2024-12-24"/>
    <x v="0"/>
    <x v="4"/>
    <s v="Electronics"/>
    <x v="1"/>
    <n v="2"/>
    <n v="5000"/>
    <n v="10"/>
    <n v="9000"/>
    <n v="3000"/>
    <n v="6000"/>
    <n v="3000"/>
    <n v="0.33333333333333298"/>
    <x v="1"/>
    <x v="5"/>
    <s v="Shipped"/>
    <x v="7"/>
  </r>
  <r>
    <s v="ORD-1235"/>
    <s v="2024-10-03"/>
    <x v="6"/>
    <x v="6"/>
    <s v="Electronics"/>
    <x v="2"/>
    <n v="18"/>
    <n v="85000"/>
    <n v="15"/>
    <n v="1300500"/>
    <n v="65000"/>
    <n v="1170000"/>
    <n v="130500"/>
    <n v="0.100346020761246"/>
    <x v="0"/>
    <x v="2"/>
    <s v="Returned"/>
    <x v="0"/>
  </r>
  <r>
    <s v="ORD-1238"/>
    <s v="2024-01-09"/>
    <x v="4"/>
    <x v="3"/>
    <s v="Electronics"/>
    <x v="0"/>
    <n v="20"/>
    <n v="25000"/>
    <n v="0"/>
    <n v="500000"/>
    <n v="18000"/>
    <n v="360000"/>
    <n v="140000"/>
    <n v="0.28000000000000003"/>
    <x v="1"/>
    <x v="0"/>
    <s v="Pending"/>
    <x v="10"/>
  </r>
  <r>
    <s v="ORD-1246"/>
    <s v="2024-12-10"/>
    <x v="1"/>
    <x v="4"/>
    <s v="Electronics"/>
    <x v="2"/>
    <n v="19"/>
    <n v="85000"/>
    <n v="25"/>
    <n v="1211250"/>
    <n v="65000"/>
    <n v="1235000"/>
    <n v="-23750"/>
    <n v="-1.9607843137254902E-2"/>
    <x v="0"/>
    <x v="4"/>
    <s v="Delivered"/>
    <x v="7"/>
  </r>
  <r>
    <s v="ORD-1256"/>
    <s v="2024-10-09"/>
    <x v="7"/>
    <x v="4"/>
    <s v="Electronics"/>
    <x v="3"/>
    <n v="9"/>
    <n v="15000"/>
    <n v="20"/>
    <n v="108000"/>
    <n v="10000"/>
    <n v="90000"/>
    <n v="18000"/>
    <n v="0.16666666666666699"/>
    <x v="1"/>
    <x v="1"/>
    <s v="Delivered"/>
    <x v="0"/>
  </r>
  <r>
    <s v="ORD-1257"/>
    <s v="2024-12-23"/>
    <x v="7"/>
    <x v="5"/>
    <s v="Electronics"/>
    <x v="0"/>
    <n v="17"/>
    <n v="25000"/>
    <n v="5"/>
    <n v="403750"/>
    <n v="18000"/>
    <n v="306000"/>
    <n v="97750"/>
    <n v="0.24210526315789499"/>
    <x v="0"/>
    <x v="5"/>
    <s v="Pending"/>
    <x v="7"/>
  </r>
  <r>
    <s v="ORD-1259"/>
    <s v="2024-12-22"/>
    <x v="4"/>
    <x v="1"/>
    <s v="Electronics"/>
    <x v="0"/>
    <n v="3"/>
    <n v="25000"/>
    <n v="15"/>
    <n v="63750"/>
    <n v="18000"/>
    <n v="54000"/>
    <n v="9750"/>
    <n v="0.152941176470588"/>
    <x v="1"/>
    <x v="4"/>
    <s v="Delivered"/>
    <x v="7"/>
  </r>
  <r>
    <s v="ORD-1260"/>
    <s v="2024-01-29"/>
    <x v="3"/>
    <x v="5"/>
    <s v="Electronics"/>
    <x v="1"/>
    <n v="14"/>
    <n v="5000"/>
    <n v="25"/>
    <n v="52500"/>
    <n v="3000"/>
    <n v="42000"/>
    <n v="10500"/>
    <n v="0.2"/>
    <x v="1"/>
    <x v="0"/>
    <s v="Returned"/>
    <x v="10"/>
  </r>
  <r>
    <s v="ORD-1264"/>
    <s v="2024-03-12"/>
    <x v="0"/>
    <x v="6"/>
    <s v="Electronics"/>
    <x v="0"/>
    <n v="14"/>
    <n v="25000"/>
    <n v="5"/>
    <n v="332500"/>
    <n v="18000"/>
    <n v="252000"/>
    <n v="80500"/>
    <n v="0.24210526315789499"/>
    <x v="0"/>
    <x v="3"/>
    <s v="Pending"/>
    <x v="2"/>
  </r>
  <r>
    <s v="ORD-1269"/>
    <s v="2024-10-11"/>
    <x v="2"/>
    <x v="0"/>
    <s v="Electronics"/>
    <x v="0"/>
    <n v="3"/>
    <n v="25000"/>
    <n v="10"/>
    <n v="67500"/>
    <n v="18000"/>
    <n v="54000"/>
    <n v="13500"/>
    <n v="0.2"/>
    <x v="0"/>
    <x v="0"/>
    <s v="Delivered"/>
    <x v="0"/>
  </r>
  <r>
    <s v="ORD-1282"/>
    <s v="2024-08-08"/>
    <x v="0"/>
    <x v="4"/>
    <s v="Electronics"/>
    <x v="4"/>
    <n v="8"/>
    <n v="35000"/>
    <n v="20"/>
    <n v="224000"/>
    <n v="26000"/>
    <n v="208000"/>
    <n v="16000"/>
    <n v="7.1428571428571397E-2"/>
    <x v="0"/>
    <x v="4"/>
    <s v="Delivered"/>
    <x v="9"/>
  </r>
  <r>
    <s v="ORD-1305"/>
    <s v="2024-02-17"/>
    <x v="9"/>
    <x v="6"/>
    <s v="Electronics"/>
    <x v="3"/>
    <n v="13"/>
    <n v="15000"/>
    <n v="5"/>
    <n v="185250"/>
    <n v="10000"/>
    <n v="130000"/>
    <n v="55250"/>
    <n v="0.29824561403508798"/>
    <x v="1"/>
    <x v="5"/>
    <s v="Delivered"/>
    <x v="4"/>
  </r>
  <r>
    <s v="ORD-1316"/>
    <s v="2024-11-03"/>
    <x v="1"/>
    <x v="1"/>
    <s v="Electronics"/>
    <x v="4"/>
    <n v="7"/>
    <n v="35000"/>
    <n v="20"/>
    <n v="196000"/>
    <n v="26000"/>
    <n v="182000"/>
    <n v="14000"/>
    <n v="7.1428571428571397E-2"/>
    <x v="0"/>
    <x v="2"/>
    <s v="Delivered"/>
    <x v="3"/>
  </r>
  <r>
    <s v="ORD-1319"/>
    <s v="2024-03-29"/>
    <x v="9"/>
    <x v="7"/>
    <s v="Electronics"/>
    <x v="3"/>
    <n v="3"/>
    <n v="15000"/>
    <n v="0"/>
    <n v="45000"/>
    <n v="10000"/>
    <n v="30000"/>
    <n v="15000"/>
    <n v="0.33333333333333298"/>
    <x v="1"/>
    <x v="5"/>
    <s v="Delivered"/>
    <x v="2"/>
  </r>
  <r>
    <s v="ORD-1328"/>
    <s v="2024-07-15"/>
    <x v="6"/>
    <x v="5"/>
    <s v="Electronics"/>
    <x v="3"/>
    <n v="14"/>
    <n v="15000"/>
    <n v="5"/>
    <n v="199500"/>
    <n v="10000"/>
    <n v="140000"/>
    <n v="59500"/>
    <n v="0.29824561403508798"/>
    <x v="1"/>
    <x v="5"/>
    <s v="Delivered"/>
    <x v="8"/>
  </r>
  <r>
    <s v="ORD-1330"/>
    <s v="2024-09-21"/>
    <x v="3"/>
    <x v="0"/>
    <s v="Electronics"/>
    <x v="1"/>
    <n v="10"/>
    <n v="5000"/>
    <n v="10"/>
    <n v="45000"/>
    <n v="3000"/>
    <n v="30000"/>
    <n v="15000"/>
    <n v="0.33333333333333298"/>
    <x v="1"/>
    <x v="1"/>
    <s v="Delivered"/>
    <x v="11"/>
  </r>
  <r>
    <s v="ORD-1333"/>
    <s v="2024-12-21"/>
    <x v="3"/>
    <x v="6"/>
    <s v="Electronics"/>
    <x v="1"/>
    <n v="10"/>
    <n v="5000"/>
    <n v="0"/>
    <n v="50000"/>
    <n v="3000"/>
    <n v="30000"/>
    <n v="20000"/>
    <n v="0.4"/>
    <x v="0"/>
    <x v="0"/>
    <s v="Returned"/>
    <x v="7"/>
  </r>
  <r>
    <s v="ORD-1339"/>
    <s v="2024-08-25"/>
    <x v="5"/>
    <x v="7"/>
    <s v="Electronics"/>
    <x v="2"/>
    <n v="10"/>
    <n v="85000"/>
    <n v="25"/>
    <n v="637500"/>
    <n v="65000"/>
    <n v="650000"/>
    <n v="-12500"/>
    <n v="-1.9607843137254902E-2"/>
    <x v="0"/>
    <x v="5"/>
    <s v="Shipped"/>
    <x v="9"/>
  </r>
  <r>
    <s v="ORD-1342"/>
    <s v="2024-03-12"/>
    <x v="0"/>
    <x v="4"/>
    <s v="Electronics"/>
    <x v="2"/>
    <n v="5"/>
    <n v="85000"/>
    <n v="5"/>
    <n v="403750"/>
    <n v="65000"/>
    <n v="325000"/>
    <n v="78750"/>
    <n v="0.195046439628483"/>
    <x v="1"/>
    <x v="3"/>
    <s v="Pending"/>
    <x v="2"/>
  </r>
  <r>
    <s v="ORD-1343"/>
    <s v="2024-11-26"/>
    <x v="0"/>
    <x v="1"/>
    <s v="Electronics"/>
    <x v="0"/>
    <n v="3"/>
    <n v="25000"/>
    <n v="5"/>
    <n v="71250"/>
    <n v="18000"/>
    <n v="54000"/>
    <n v="17250"/>
    <n v="0.24210526315789499"/>
    <x v="1"/>
    <x v="5"/>
    <s v="Delivered"/>
    <x v="3"/>
  </r>
  <r>
    <s v="ORD-1349"/>
    <s v="2024-06-12"/>
    <x v="1"/>
    <x v="3"/>
    <s v="Electronics"/>
    <x v="4"/>
    <n v="2"/>
    <n v="35000"/>
    <n v="15"/>
    <n v="59500"/>
    <n v="26000"/>
    <n v="52000"/>
    <n v="7500"/>
    <n v="0.126050420168067"/>
    <x v="1"/>
    <x v="0"/>
    <s v="Returned"/>
    <x v="1"/>
  </r>
  <r>
    <s v="ORD-1355"/>
    <s v="2024-03-13"/>
    <x v="0"/>
    <x v="6"/>
    <s v="Electronics"/>
    <x v="4"/>
    <n v="13"/>
    <n v="35000"/>
    <n v="20"/>
    <n v="364000"/>
    <n v="26000"/>
    <n v="338000"/>
    <n v="26000"/>
    <n v="7.1428571428571397E-2"/>
    <x v="0"/>
    <x v="3"/>
    <s v="Delivered"/>
    <x v="2"/>
  </r>
  <r>
    <s v="ORD-1359"/>
    <s v="2024-09-11"/>
    <x v="6"/>
    <x v="6"/>
    <s v="Electronics"/>
    <x v="2"/>
    <n v="12"/>
    <n v="85000"/>
    <n v="10"/>
    <n v="918000"/>
    <n v="65000"/>
    <n v="780000"/>
    <n v="138000"/>
    <n v="0.15032679738562099"/>
    <x v="0"/>
    <x v="2"/>
    <s v="Shipped"/>
    <x v="11"/>
  </r>
  <r>
    <s v="ORD-1360"/>
    <s v="2024-02-15"/>
    <x v="8"/>
    <x v="2"/>
    <s v="Electronics"/>
    <x v="4"/>
    <n v="7"/>
    <n v="35000"/>
    <n v="5"/>
    <n v="232750"/>
    <n v="26000"/>
    <n v="182000"/>
    <n v="50750"/>
    <n v="0.21804511278195499"/>
    <x v="0"/>
    <x v="3"/>
    <s v="Delivered"/>
    <x v="4"/>
  </r>
  <r>
    <s v="ORD-1362"/>
    <s v="2024-06-28"/>
    <x v="2"/>
    <x v="0"/>
    <s v="Electronics"/>
    <x v="1"/>
    <n v="19"/>
    <n v="5000"/>
    <n v="25"/>
    <n v="71250"/>
    <n v="3000"/>
    <n v="57000"/>
    <n v="14250"/>
    <n v="0.2"/>
    <x v="0"/>
    <x v="5"/>
    <s v="Delivered"/>
    <x v="1"/>
  </r>
  <r>
    <s v="ORD-1368"/>
    <s v="2024-09-02"/>
    <x v="4"/>
    <x v="7"/>
    <s v="Electronics"/>
    <x v="2"/>
    <n v="6"/>
    <n v="85000"/>
    <n v="25"/>
    <n v="382500"/>
    <n v="65000"/>
    <n v="390000"/>
    <n v="-7500"/>
    <n v="-1.9607843137254902E-2"/>
    <x v="1"/>
    <x v="1"/>
    <s v="Delivered"/>
    <x v="11"/>
  </r>
  <r>
    <s v="ORD-1377"/>
    <s v="2024-03-16"/>
    <x v="1"/>
    <x v="7"/>
    <s v="Electronics"/>
    <x v="3"/>
    <n v="4"/>
    <n v="15000"/>
    <n v="10"/>
    <n v="54000"/>
    <n v="10000"/>
    <n v="40000"/>
    <n v="14000"/>
    <n v="0.25925925925925902"/>
    <x v="1"/>
    <x v="4"/>
    <s v="Delivered"/>
    <x v="2"/>
  </r>
  <r>
    <s v="ORD-1378"/>
    <s v="2024-12-01"/>
    <x v="9"/>
    <x v="2"/>
    <s v="Electronics"/>
    <x v="2"/>
    <n v="9"/>
    <n v="85000"/>
    <n v="15"/>
    <n v="650250"/>
    <n v="65000"/>
    <n v="585000"/>
    <n v="65250"/>
    <n v="0.100346020761246"/>
    <x v="0"/>
    <x v="0"/>
    <s v="Pending"/>
    <x v="7"/>
  </r>
  <r>
    <s v="ORD-1382"/>
    <s v="2024-07-27"/>
    <x v="9"/>
    <x v="6"/>
    <s v="Electronics"/>
    <x v="3"/>
    <n v="6"/>
    <n v="15000"/>
    <n v="0"/>
    <n v="90000"/>
    <n v="10000"/>
    <n v="60000"/>
    <n v="30000"/>
    <n v="0.33333333333333298"/>
    <x v="1"/>
    <x v="2"/>
    <s v="Delivered"/>
    <x v="8"/>
  </r>
  <r>
    <s v="ORD-1386"/>
    <s v="2024-05-12"/>
    <x v="0"/>
    <x v="1"/>
    <s v="Electronics"/>
    <x v="1"/>
    <n v="2"/>
    <n v="5000"/>
    <n v="5"/>
    <n v="9500"/>
    <n v="3000"/>
    <n v="6000"/>
    <n v="3500"/>
    <n v="0.36842105263157898"/>
    <x v="0"/>
    <x v="5"/>
    <s v="Pending"/>
    <x v="5"/>
  </r>
  <r>
    <s v="ORD-1401"/>
    <s v="2024-08-07"/>
    <x v="9"/>
    <x v="0"/>
    <s v="Electronics"/>
    <x v="0"/>
    <n v="18"/>
    <n v="25000"/>
    <n v="5"/>
    <n v="427500"/>
    <n v="18000"/>
    <n v="324000"/>
    <n v="103500"/>
    <n v="0.24210526315789499"/>
    <x v="1"/>
    <x v="1"/>
    <s v="Shipped"/>
    <x v="9"/>
  </r>
  <r>
    <s v="ORD-1402"/>
    <s v="2024-09-28"/>
    <x v="4"/>
    <x v="4"/>
    <s v="Electronics"/>
    <x v="2"/>
    <n v="8"/>
    <n v="85000"/>
    <n v="25"/>
    <n v="510000"/>
    <n v="65000"/>
    <n v="520000"/>
    <n v="-10000"/>
    <n v="-1.9607843137254902E-2"/>
    <x v="1"/>
    <x v="3"/>
    <s v="Delivered"/>
    <x v="11"/>
  </r>
  <r>
    <s v="ORD-1407"/>
    <s v="2024-12-04"/>
    <x v="0"/>
    <x v="4"/>
    <s v="Electronics"/>
    <x v="0"/>
    <n v="14"/>
    <n v="25000"/>
    <n v="15"/>
    <n v="297500"/>
    <n v="18000"/>
    <n v="252000"/>
    <n v="45500"/>
    <n v="0.152941176470588"/>
    <x v="1"/>
    <x v="1"/>
    <s v="Delivered"/>
    <x v="7"/>
  </r>
  <r>
    <s v="ORD-1408"/>
    <s v="2024-08-30"/>
    <x v="6"/>
    <x v="3"/>
    <s v="Electronics"/>
    <x v="4"/>
    <n v="14"/>
    <n v="35000"/>
    <n v="25"/>
    <n v="367500"/>
    <n v="26000"/>
    <n v="364000"/>
    <n v="3500"/>
    <n v="9.5238095238095195E-3"/>
    <x v="0"/>
    <x v="2"/>
    <s v="Delivered"/>
    <x v="9"/>
  </r>
  <r>
    <s v="ORD-1417"/>
    <s v="2024-03-26"/>
    <x v="0"/>
    <x v="5"/>
    <s v="Electronics"/>
    <x v="2"/>
    <n v="4"/>
    <n v="85000"/>
    <n v="15"/>
    <n v="289000"/>
    <n v="65000"/>
    <n v="260000"/>
    <n v="29000"/>
    <n v="0.100346020761246"/>
    <x v="1"/>
    <x v="0"/>
    <s v="Pending"/>
    <x v="2"/>
  </r>
  <r>
    <s v="ORD-1419"/>
    <s v="2024-02-27"/>
    <x v="7"/>
    <x v="2"/>
    <s v="Electronics"/>
    <x v="0"/>
    <n v="9"/>
    <n v="25000"/>
    <n v="25"/>
    <n v="168750"/>
    <n v="18000"/>
    <n v="162000"/>
    <n v="6750"/>
    <n v="0.04"/>
    <x v="1"/>
    <x v="1"/>
    <s v="Pending"/>
    <x v="4"/>
  </r>
  <r>
    <s v="ORD-1425"/>
    <s v="2024-02-22"/>
    <x v="7"/>
    <x v="0"/>
    <s v="Electronics"/>
    <x v="3"/>
    <n v="18"/>
    <n v="15000"/>
    <n v="0"/>
    <n v="270000"/>
    <n v="10000"/>
    <n v="180000"/>
    <n v="90000"/>
    <n v="0.33333333333333298"/>
    <x v="0"/>
    <x v="0"/>
    <s v="Cancelled"/>
    <x v="4"/>
  </r>
  <r>
    <s v="ORD-1428"/>
    <s v="2024-11-20"/>
    <x v="5"/>
    <x v="6"/>
    <s v="Electronics"/>
    <x v="0"/>
    <n v="6"/>
    <n v="25000"/>
    <n v="15"/>
    <n v="127500"/>
    <n v="18000"/>
    <n v="108000"/>
    <n v="19500"/>
    <n v="0.152941176470588"/>
    <x v="0"/>
    <x v="2"/>
    <s v="Pending"/>
    <x v="3"/>
  </r>
  <r>
    <s v="ORD-1431"/>
    <s v="2024-09-15"/>
    <x v="6"/>
    <x v="2"/>
    <s v="Electronics"/>
    <x v="3"/>
    <n v="2"/>
    <n v="15000"/>
    <n v="20"/>
    <n v="24000"/>
    <n v="10000"/>
    <n v="20000"/>
    <n v="4000"/>
    <n v="0.16666666666666699"/>
    <x v="1"/>
    <x v="0"/>
    <s v="Delivered"/>
    <x v="11"/>
  </r>
  <r>
    <s v="ORD-1446"/>
    <s v="2024-10-05"/>
    <x v="2"/>
    <x v="0"/>
    <s v="Electronics"/>
    <x v="4"/>
    <n v="8"/>
    <n v="35000"/>
    <n v="5"/>
    <n v="266000"/>
    <n v="26000"/>
    <n v="208000"/>
    <n v="58000"/>
    <n v="0.21804511278195499"/>
    <x v="1"/>
    <x v="3"/>
    <s v="Delivered"/>
    <x v="0"/>
  </r>
  <r>
    <s v="ORD-1448"/>
    <s v="2024-11-24"/>
    <x v="1"/>
    <x v="3"/>
    <s v="Electronics"/>
    <x v="4"/>
    <n v="13"/>
    <n v="35000"/>
    <n v="0"/>
    <n v="455000"/>
    <n v="26000"/>
    <n v="338000"/>
    <n v="117000"/>
    <n v="0.25714285714285701"/>
    <x v="1"/>
    <x v="3"/>
    <s v="Delivered"/>
    <x v="3"/>
  </r>
  <r>
    <s v="ORD-1450"/>
    <s v="2024-04-08"/>
    <x v="8"/>
    <x v="7"/>
    <s v="Electronics"/>
    <x v="2"/>
    <n v="18"/>
    <n v="85000"/>
    <n v="20"/>
    <n v="1224000"/>
    <n v="65000"/>
    <n v="1170000"/>
    <n v="54000"/>
    <n v="4.4117647058823498E-2"/>
    <x v="0"/>
    <x v="2"/>
    <s v="Delivered"/>
    <x v="6"/>
  </r>
  <r>
    <s v="ORD-1451"/>
    <s v="2024-12-09"/>
    <x v="4"/>
    <x v="0"/>
    <s v="Electronics"/>
    <x v="2"/>
    <n v="18"/>
    <n v="85000"/>
    <n v="25"/>
    <n v="1147500"/>
    <n v="65000"/>
    <n v="1170000"/>
    <n v="-22500"/>
    <n v="-1.9607843137254902E-2"/>
    <x v="1"/>
    <x v="2"/>
    <s v="Shipped"/>
    <x v="7"/>
  </r>
  <r>
    <s v="ORD-1456"/>
    <s v="2024-08-12"/>
    <x v="7"/>
    <x v="0"/>
    <s v="Electronics"/>
    <x v="1"/>
    <n v="6"/>
    <n v="5000"/>
    <n v="20"/>
    <n v="24000"/>
    <n v="3000"/>
    <n v="18000"/>
    <n v="6000"/>
    <n v="0.25"/>
    <x v="0"/>
    <x v="5"/>
    <s v="Pending"/>
    <x v="9"/>
  </r>
  <r>
    <s v="ORD-1479"/>
    <s v="2024-11-22"/>
    <x v="3"/>
    <x v="1"/>
    <s v="Electronics"/>
    <x v="2"/>
    <n v="15"/>
    <n v="85000"/>
    <n v="20"/>
    <n v="1020000"/>
    <n v="65000"/>
    <n v="975000"/>
    <n v="45000"/>
    <n v="4.4117647058823498E-2"/>
    <x v="1"/>
    <x v="4"/>
    <s v="Delivered"/>
    <x v="3"/>
  </r>
  <r>
    <s v="ORD-1494"/>
    <s v="2024-09-22"/>
    <x v="5"/>
    <x v="3"/>
    <s v="Electronics"/>
    <x v="3"/>
    <n v="17"/>
    <n v="15000"/>
    <n v="20"/>
    <n v="204000"/>
    <n v="10000"/>
    <n v="170000"/>
    <n v="34000"/>
    <n v="0.16666666666666699"/>
    <x v="0"/>
    <x v="0"/>
    <s v="Delivered"/>
    <x v="11"/>
  </r>
  <r>
    <s v="ORD-1495"/>
    <s v="2024-01-19"/>
    <x v="8"/>
    <x v="3"/>
    <s v="Electronics"/>
    <x v="2"/>
    <n v="3"/>
    <n v="85000"/>
    <n v="10"/>
    <n v="229500"/>
    <n v="65000"/>
    <n v="195000"/>
    <n v="34500"/>
    <n v="0.15032679738562099"/>
    <x v="1"/>
    <x v="3"/>
    <s v="Pending"/>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87:A88" firstHeaderRow="1" firstDataRow="1" firstDataCol="0"/>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sortType="descending">
      <autoSortScope>
        <pivotArea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Items count="1">
    <i/>
  </rowItems>
  <colItems count="1">
    <i/>
  </colItems>
  <dataFields count="1">
    <dataField name=" Total Revenue (PKR)" fld="9" baseField="0" baseItem="18567926" numFmtId="167"/>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Month vs Revenue" cacheId="0" applyNumberFormats="0" applyBorderFormats="0" applyFontFormats="0" applyPatternFormats="0" applyAlignmentFormats="0" applyWidthHeightFormats="1" dataCaption="Values" updatedVersion="6" minRefreshableVersion="3" createdVersion="5" indent="0" compact="0" outline="1" outlineData="1" compactData="0" multipleFieldFilters="0" chartFormat="9">
  <location ref="A31:B44" firstHeaderRow="1" firstDataRow="1" firstDataCol="1"/>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axis="axisRow" compact="0" showAll="0">
      <items count="13">
        <item x="10"/>
        <item x="4"/>
        <item x="2"/>
        <item x="6"/>
        <item x="5"/>
        <item x="1"/>
        <item x="8"/>
        <item x="9"/>
        <item x="11"/>
        <item x="0"/>
        <item x="3"/>
        <item x="7"/>
        <item t="default"/>
      </items>
    </pivotField>
  </pivotFields>
  <rowFields count="1">
    <field x="17"/>
  </rowFields>
  <rowItems count="13">
    <i>
      <x/>
    </i>
    <i>
      <x v="1"/>
    </i>
    <i>
      <x v="2"/>
    </i>
    <i>
      <x v="3"/>
    </i>
    <i>
      <x v="4"/>
    </i>
    <i>
      <x v="5"/>
    </i>
    <i>
      <x v="6"/>
    </i>
    <i>
      <x v="7"/>
    </i>
    <i>
      <x v="8"/>
    </i>
    <i>
      <x v="9"/>
    </i>
    <i>
      <x v="10"/>
    </i>
    <i>
      <x v="11"/>
    </i>
    <i t="grand">
      <x/>
    </i>
  </rowItems>
  <colItems count="1">
    <i/>
  </colItems>
  <dataFields count="1">
    <dataField name="Sum of Total Revenue (PKR)" fld="9" baseField="0" baseItem="0"/>
  </dataFields>
  <chartFormats count="5">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createdVersion="5" indent="0" compact="0" outline="1" outlineData="1" compactData="0" multipleFieldFilters="0" chartFormat="7">
  <location ref="K58:L69" firstHeaderRow="1" firstDataRow="1" firstDataCol="1"/>
  <pivotFields count="18">
    <pivotField compact="0" showAll="0"/>
    <pivotField compact="0" showAll="0"/>
    <pivotField axis="axisRow" compact="0" showAll="0">
      <items count="11">
        <item x="3"/>
        <item x="8"/>
        <item x="6"/>
        <item x="4"/>
        <item x="7"/>
        <item x="2"/>
        <item x="1"/>
        <item x="0"/>
        <item x="5"/>
        <item x="9"/>
        <item t="default"/>
      </items>
    </pivotField>
    <pivotField compact="0" showAll="0">
      <items count="9">
        <item x="0"/>
        <item x="5"/>
        <item x="4"/>
        <item x="7"/>
        <item x="6"/>
        <item x="3"/>
        <item x="1"/>
        <item x="2"/>
        <item t="default"/>
      </items>
    </pivotField>
    <pivotField compact="0" showAll="0"/>
    <pivotField compact="0" showAll="0" sortType="descending">
      <autoSortScope>
        <pivotArea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Fields count="1">
    <field x="2"/>
  </rowFields>
  <rowItems count="11">
    <i>
      <x/>
    </i>
    <i>
      <x v="1"/>
    </i>
    <i>
      <x v="2"/>
    </i>
    <i>
      <x v="3"/>
    </i>
    <i>
      <x v="4"/>
    </i>
    <i>
      <x v="5"/>
    </i>
    <i>
      <x v="6"/>
    </i>
    <i>
      <x v="7"/>
    </i>
    <i>
      <x v="8"/>
    </i>
    <i>
      <x v="9"/>
    </i>
    <i t="grand">
      <x/>
    </i>
  </rowItems>
  <colItems count="1">
    <i/>
  </colItems>
  <dataFields count="1">
    <dataField name="Sum of Total Revenue (PKR)" fld="9" baseField="0" baseItem="0"/>
  </dataFields>
  <chartFormats count="3">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F87:F88" firstHeaderRow="1" firstDataRow="1" firstDataCol="0"/>
  <pivotFields count="18">
    <pivotField dataField="1" compact="0" showAll="0"/>
    <pivotField compact="0" showAll="0"/>
    <pivotField compact="0" showAll="0"/>
    <pivotField compact="0" showAll="0">
      <items count="9">
        <item x="0"/>
        <item x="5"/>
        <item x="4"/>
        <item x="7"/>
        <item x="6"/>
        <item x="3"/>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Items count="1">
    <i/>
  </rowItems>
  <colItems count="1">
    <i/>
  </colItems>
  <dataFields count="1">
    <dataField name="Total Orders" fld="0" subtotal="count" baseField="0" baseItem="1856792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C87:C88" firstHeaderRow="1" firstDataRow="1" firstDataCol="0"/>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Items count="1">
    <i/>
  </rowItems>
  <colItems count="1">
    <i/>
  </colItems>
  <dataFields count="1">
    <dataField name="Total Profit (PKR)" fld="12" baseField="0" baseItem="18567926" numFmtId="167"/>
  </dataFields>
  <formats count="4">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17">
  <location ref="H90:I93" firstHeaderRow="1" firstDataRow="1" firstDataCol="1"/>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sortType="descending">
      <autoSortScope>
        <pivotArea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numFmtId="9" showAll="0" defaultSubtotal="0"/>
    <pivotField axis="axisRow"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Fields count="1">
    <field x="14"/>
  </rowFields>
  <rowItems count="3">
    <i>
      <x/>
    </i>
    <i>
      <x v="1"/>
    </i>
    <i t="grand">
      <x/>
    </i>
  </rowItems>
  <colItems count="1">
    <i/>
  </colItems>
  <dataFields count="1">
    <dataField name="Sum of Total Revenue (PKR)" fld="9" baseField="0" baseItem="0"/>
  </dataFields>
  <chartFormats count="11">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4" count="1" selected="0">
            <x v="0"/>
          </reference>
        </references>
      </pivotArea>
    </chartFormat>
    <chartFormat chart="6" format="3">
      <pivotArea type="data" outline="0" fieldPosition="0">
        <references count="2">
          <reference field="4294967294" count="1" selected="0">
            <x v="0"/>
          </reference>
          <reference field="14"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4" count="1" selected="0">
            <x v="0"/>
          </reference>
        </references>
      </pivotArea>
    </chartFormat>
    <chartFormat chart="11" format="9">
      <pivotArea type="data" outline="0" fieldPosition="0">
        <references count="2">
          <reference field="4294967294" count="1" selected="0">
            <x v="0"/>
          </reference>
          <reference field="14"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4" count="1" selected="0">
            <x v="0"/>
          </reference>
        </references>
      </pivotArea>
    </chartFormat>
    <chartFormat chart="14" format="9">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C92:C93" firstHeaderRow="1" firstDataRow="1" firstDataCol="0"/>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Items count="1">
    <i/>
  </rowItems>
  <colItems count="1">
    <i/>
  </colItems>
  <dataFields count="1">
    <dataField name="Average Profit Margin" fld="13" subtotal="average" baseField="0" baseItem="569927440" numFmtId="9"/>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p Region" cacheId="0" applyNumberFormats="0" applyBorderFormats="0" applyFontFormats="0" applyPatternFormats="0" applyAlignmentFormats="0" applyWidthHeightFormats="1" dataCaption="Values" updatedVersion="6" minRefreshableVersion="3" createdVersion="5" indent="0" compact="0" outline="1" outlineData="1" compactData="0" multipleFieldFilters="0" chartFormat="15">
  <location ref="J22:K31" firstHeaderRow="1" firstDataRow="1" firstDataCol="1"/>
  <pivotFields count="18">
    <pivotField compact="0" showAll="0"/>
    <pivotField compact="0" showAll="0"/>
    <pivotField compact="0" showAll="0"/>
    <pivotField axis="axisRow" compact="0" showAll="0" sortType="descending">
      <items count="9">
        <item x="0"/>
        <item x="1"/>
        <item x="2"/>
        <item x="3"/>
        <item x="4"/>
        <item x="5"/>
        <item x="6"/>
        <item x="7"/>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Fields count="1">
    <field x="3"/>
  </rowFields>
  <rowItems count="9">
    <i>
      <x v="7"/>
    </i>
    <i>
      <x v="6"/>
    </i>
    <i>
      <x v="4"/>
    </i>
    <i>
      <x v="5"/>
    </i>
    <i>
      <x v="2"/>
    </i>
    <i>
      <x/>
    </i>
    <i>
      <x v="1"/>
    </i>
    <i>
      <x v="3"/>
    </i>
    <i t="grand">
      <x/>
    </i>
  </rowItems>
  <colItems count="1">
    <i/>
  </colItems>
  <dataFields count="1">
    <dataField name="Sum of Total Revenue (PKR)" fld="9" baseField="0" baseItem="0"/>
  </dataFields>
  <chartFormats count="6">
    <chartFormat chart="2"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pivotArea type="data" outline="0" fieldPosition="0">
        <references count="2">
          <reference field="4294967294" count="1" selected="0">
            <x v="0"/>
          </reference>
          <reference field="3" count="1" selected="0">
            <x v="7"/>
          </reference>
        </references>
      </pivotArea>
    </chartFormat>
    <chartFormat chart="6" format="4">
      <pivotArea type="data" outline="0" fieldPosition="0">
        <references count="2">
          <reference field="4294967294" count="1" selected="0">
            <x v="0"/>
          </reference>
          <reference field="3" count="1" selected="0">
            <x v="7"/>
          </reference>
        </references>
      </pivotArea>
    </chartFormat>
    <chartFormat chart="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92:A93" firstHeaderRow="1" firstDataRow="1" firstDataCol="0"/>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Items count="1">
    <i/>
  </rowItems>
  <colItems count="1">
    <i/>
  </colItems>
  <dataFields count="1">
    <dataField name="Total Units Sold" fld="6" baseField="0" baseItem="1856792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ayment %" cacheId="0" applyNumberFormats="0" applyBorderFormats="0" applyFontFormats="0" applyPatternFormats="0" applyAlignmentFormats="0" applyWidthHeightFormats="1" dataCaption="Values" updatedVersion="6" minRefreshableVersion="3" createdVersion="5" indent="0" compact="0" outline="1" outlineData="1" compactData="0" multipleFieldFilters="0" chartFormat="12">
  <location ref="A52:B59" firstHeaderRow="1" firstDataRow="1" firstDataCol="1"/>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numFmtId="9" showAll="0" defaultSubtotal="0"/>
    <pivotField compact="0" showAll="0">
      <items count="3">
        <item x="0"/>
        <item x="1"/>
        <item t="default"/>
      </items>
    </pivotField>
    <pivotField axis="axisRow" dataField="1" compact="0"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compact="0" showAll="0"/>
    <pivotField compact="0" showAll="0">
      <items count="13">
        <item x="10"/>
        <item x="4"/>
        <item x="2"/>
        <item x="6"/>
        <item x="5"/>
        <item x="1"/>
        <item x="8"/>
        <item x="9"/>
        <item x="11"/>
        <item x="0"/>
        <item x="3"/>
        <item x="7"/>
        <item t="default"/>
      </items>
    </pivotField>
  </pivotFields>
  <rowFields count="1">
    <field x="15"/>
  </rowFields>
  <rowItems count="7">
    <i>
      <x/>
    </i>
    <i>
      <x v="2"/>
    </i>
    <i>
      <x v="4"/>
    </i>
    <i>
      <x v="5"/>
    </i>
    <i>
      <x v="1"/>
    </i>
    <i>
      <x v="3"/>
    </i>
    <i t="grand">
      <x/>
    </i>
  </rowItems>
  <colItems count="1">
    <i/>
  </colItems>
  <dataFields count="1">
    <dataField name="Count of Payment Method" fld="15" subtotal="count" showDataAs="percentOfTotal" baseField="0" baseItem="0" numFmtId="10"/>
  </dataFields>
  <formats count="1">
    <format dxfId="8">
      <pivotArea collapsedLevelsAreSubtotals="1" fieldPosition="0">
        <references count="1">
          <reference field="15" count="1" selected="0">
            <x v="1"/>
          </reference>
        </references>
      </pivotArea>
    </format>
  </formats>
  <chartFormats count="2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2" format="4">
      <pivotArea type="data" outline="0" fieldPosition="0">
        <references count="2">
          <reference field="4294967294" count="1" selected="0">
            <x v="0"/>
          </reference>
          <reference field="15" count="1" selected="0">
            <x v="4"/>
          </reference>
        </references>
      </pivotArea>
    </chartFormat>
    <chartFormat chart="2" format="5">
      <pivotArea type="data" outline="0" fieldPosition="0">
        <references count="2">
          <reference field="4294967294" count="1" selected="0">
            <x v="0"/>
          </reference>
          <reference field="15" count="1" selected="0">
            <x v="5"/>
          </reference>
        </references>
      </pivotArea>
    </chartFormat>
    <chartFormat chart="2" format="6">
      <pivotArea type="data" outline="0" fieldPosition="0">
        <references count="2">
          <reference field="4294967294" count="1" selected="0">
            <x v="0"/>
          </reference>
          <reference field="15" count="1" selected="0">
            <x v="3"/>
          </reference>
        </references>
      </pivotArea>
    </chartFormat>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5" count="1" selected="0">
            <x v="0"/>
          </reference>
        </references>
      </pivotArea>
    </chartFormat>
    <chartFormat chart="0" format="9">
      <pivotArea type="data" outline="0" fieldPosition="0">
        <references count="2">
          <reference field="4294967294" count="1" selected="0">
            <x v="0"/>
          </reference>
          <reference field="15" count="1" selected="0">
            <x v="1"/>
          </reference>
        </references>
      </pivotArea>
    </chartFormat>
    <chartFormat chart="0" format="10">
      <pivotArea type="data" outline="0" fieldPosition="0">
        <references count="2">
          <reference field="4294967294" count="1" selected="0">
            <x v="0"/>
          </reference>
          <reference field="15" count="1" selected="0">
            <x v="2"/>
          </reference>
        </references>
      </pivotArea>
    </chartFormat>
    <chartFormat chart="0" format="11">
      <pivotArea type="data" outline="0" fieldPosition="0">
        <references count="2">
          <reference field="4294967294" count="1" selected="0">
            <x v="0"/>
          </reference>
          <reference field="15" count="1" selected="0">
            <x v="3"/>
          </reference>
        </references>
      </pivotArea>
    </chartFormat>
    <chartFormat chart="0" format="12">
      <pivotArea type="data" outline="0" fieldPosition="0">
        <references count="2">
          <reference field="4294967294" count="1" selected="0">
            <x v="0"/>
          </reference>
          <reference field="15" count="1" selected="0">
            <x v="4"/>
          </reference>
        </references>
      </pivotArea>
    </chartFormat>
    <chartFormat chart="0" format="13">
      <pivotArea type="data" outline="0" fieldPosition="0">
        <references count="2">
          <reference field="4294967294" count="1" selected="0">
            <x v="0"/>
          </reference>
          <reference field="15" count="1" selected="0">
            <x v="5"/>
          </reference>
        </references>
      </pivotArea>
    </chartFormat>
    <chartFormat chart="8" format="41" series="1">
      <pivotArea type="data" outline="0" fieldPosition="0">
        <references count="1">
          <reference field="4294967294" count="1" selected="0">
            <x v="0"/>
          </reference>
        </references>
      </pivotArea>
    </chartFormat>
    <chartFormat chart="8" format="42">
      <pivotArea type="data" outline="0" fieldPosition="0">
        <references count="2">
          <reference field="4294967294" count="1" selected="0">
            <x v="0"/>
          </reference>
          <reference field="15" count="1" selected="0">
            <x v="0"/>
          </reference>
        </references>
      </pivotArea>
    </chartFormat>
    <chartFormat chart="8" format="43">
      <pivotArea type="data" outline="0" fieldPosition="0">
        <references count="2">
          <reference field="4294967294" count="1" selected="0">
            <x v="0"/>
          </reference>
          <reference field="15" count="1" selected="0">
            <x v="1"/>
          </reference>
        </references>
      </pivotArea>
    </chartFormat>
    <chartFormat chart="8" format="44">
      <pivotArea type="data" outline="0" fieldPosition="0">
        <references count="2">
          <reference field="4294967294" count="1" selected="0">
            <x v="0"/>
          </reference>
          <reference field="15" count="1" selected="0">
            <x v="2"/>
          </reference>
        </references>
      </pivotArea>
    </chartFormat>
    <chartFormat chart="8" format="45">
      <pivotArea type="data" outline="0" fieldPosition="0">
        <references count="2">
          <reference field="4294967294" count="1" selected="0">
            <x v="0"/>
          </reference>
          <reference field="15" count="1" selected="0">
            <x v="3"/>
          </reference>
        </references>
      </pivotArea>
    </chartFormat>
    <chartFormat chart="8" format="46">
      <pivotArea type="data" outline="0" fieldPosition="0">
        <references count="2">
          <reference field="4294967294" count="1" selected="0">
            <x v="0"/>
          </reference>
          <reference field="15" count="1" selected="0">
            <x v="4"/>
          </reference>
        </references>
      </pivotArea>
    </chartFormat>
    <chartFormat chart="8" format="47">
      <pivotArea type="data" outline="0" fieldPosition="0">
        <references count="2">
          <reference field="4294967294" count="1" selected="0">
            <x v="0"/>
          </reference>
          <reference field="15" count="1" selected="0">
            <x v="5"/>
          </reference>
        </references>
      </pivotArea>
    </chartFormat>
    <chartFormat chart="9" format="48" series="1">
      <pivotArea type="data" outline="0" fieldPosition="0">
        <references count="1">
          <reference field="4294967294" count="1" selected="0">
            <x v="0"/>
          </reference>
        </references>
      </pivotArea>
    </chartFormat>
    <chartFormat chart="9" format="49">
      <pivotArea type="data" outline="0" fieldPosition="0">
        <references count="2">
          <reference field="4294967294" count="1" selected="0">
            <x v="0"/>
          </reference>
          <reference field="15" count="1" selected="0">
            <x v="0"/>
          </reference>
        </references>
      </pivotArea>
    </chartFormat>
    <chartFormat chart="9" format="50">
      <pivotArea type="data" outline="0" fieldPosition="0">
        <references count="2">
          <reference field="4294967294" count="1" selected="0">
            <x v="0"/>
          </reference>
          <reference field="15" count="1" selected="0">
            <x v="2"/>
          </reference>
        </references>
      </pivotArea>
    </chartFormat>
    <chartFormat chart="9" format="51">
      <pivotArea type="data" outline="0" fieldPosition="0">
        <references count="2">
          <reference field="4294967294" count="1" selected="0">
            <x v="0"/>
          </reference>
          <reference field="15" count="1" selected="0">
            <x v="4"/>
          </reference>
        </references>
      </pivotArea>
    </chartFormat>
    <chartFormat chart="9" format="52">
      <pivotArea type="data" outline="0" fieldPosition="0">
        <references count="2">
          <reference field="4294967294" count="1" selected="0">
            <x v="0"/>
          </reference>
          <reference field="15" count="1" selected="0">
            <x v="5"/>
          </reference>
        </references>
      </pivotArea>
    </chartFormat>
    <chartFormat chart="9" format="53">
      <pivotArea type="data" outline="0" fieldPosition="0">
        <references count="2">
          <reference field="4294967294" count="1" selected="0">
            <x v="0"/>
          </reference>
          <reference field="15" count="1" selected="0">
            <x v="1"/>
          </reference>
        </references>
      </pivotArea>
    </chartFormat>
    <chartFormat chart="9" format="5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Revenue by product" cacheId="0" applyNumberFormats="0" applyBorderFormats="0" applyFontFormats="0" applyPatternFormats="0" applyAlignmentFormats="0" applyWidthHeightFormats="1" dataCaption="Values" updatedVersion="6" minRefreshableVersion="3" createdVersion="5" indent="0" compact="0" outline="1" outlineData="1" compactData="0" multipleFieldFilters="0" chartFormat="13">
  <location ref="A69:B75" firstHeaderRow="1" firstDataRow="1" firstDataCol="1"/>
  <pivotFields count="18">
    <pivotField compact="0" showAll="0"/>
    <pivotField compact="0" showAll="0"/>
    <pivotField compact="0" showAll="0"/>
    <pivotField compact="0" showAll="0">
      <items count="9">
        <item x="0"/>
        <item x="5"/>
        <item x="4"/>
        <item x="7"/>
        <item x="6"/>
        <item x="3"/>
        <item x="1"/>
        <item x="2"/>
        <item t="default"/>
      </items>
    </pivotField>
    <pivotField compact="0" showAll="0"/>
    <pivotField axis="axisRow" compact="0" showAll="0" sortType="descending">
      <items count="6">
        <item x="0"/>
        <item x="1"/>
        <item x="2"/>
        <item x="3"/>
        <item x="4"/>
        <item t="default"/>
      </items>
      <autoSortScope>
        <pivotArea fieldPosition="0">
          <references count="1">
            <reference field="4294967294" count="1" selected="0">
              <x v="0"/>
            </reference>
          </references>
        </pivotArea>
      </autoSortScope>
    </pivotField>
    <pivotField compact="0" showAll="0"/>
    <pivotField compact="0" showAll="0"/>
    <pivotField compact="0" showAll="0"/>
    <pivotField dataField="1" compact="0" showAll="0"/>
    <pivotField compact="0" showAll="0"/>
    <pivotField compact="0" showAll="0"/>
    <pivotField compact="0" showAll="0"/>
    <pivotField compact="0" numFmtId="9" showAll="0" defaultSubtotal="0"/>
    <pivotField compact="0" showAll="0">
      <items count="3">
        <item x="0"/>
        <item x="1"/>
        <item t="default"/>
      </items>
    </pivotField>
    <pivotField compact="0" showAll="0">
      <items count="7">
        <item x="2"/>
        <item x="1"/>
        <item x="5"/>
        <item x="3"/>
        <item x="0"/>
        <item x="4"/>
        <item t="default"/>
      </items>
    </pivotField>
    <pivotField compact="0" showAll="0"/>
    <pivotField compact="0" showAll="0">
      <items count="13">
        <item x="10"/>
        <item x="4"/>
        <item x="2"/>
        <item x="6"/>
        <item x="5"/>
        <item x="1"/>
        <item x="8"/>
        <item x="9"/>
        <item x="11"/>
        <item x="0"/>
        <item x="3"/>
        <item x="7"/>
        <item t="default"/>
      </items>
    </pivotField>
  </pivotFields>
  <rowFields count="1">
    <field x="5"/>
  </rowFields>
  <rowItems count="6">
    <i>
      <x v="2"/>
    </i>
    <i>
      <x v="4"/>
    </i>
    <i>
      <x/>
    </i>
    <i>
      <x v="3"/>
    </i>
    <i>
      <x v="1"/>
    </i>
    <i t="grand">
      <x/>
    </i>
  </rowItems>
  <colItems count="1">
    <i/>
  </colItems>
  <dataFields count="1">
    <dataField name="Sum of Total Revenue (PKR)" fld="9" baseField="0" baseItem="0"/>
  </dataFields>
  <chartFormats count="4">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Revenue by product"/>
    <pivotTable tabId="6" name="Month vs Revenue"/>
    <pivotTable tabId="6" name="Payment %"/>
    <pivotTable tabId="6" name="Top Region"/>
    <pivotTable tabId="6" name="PivotTable2"/>
    <pivotTable tabId="6" name="PivotTable1"/>
    <pivotTable tabId="6" name="PivotTable3"/>
    <pivotTable tabId="6" name="PivotTable4"/>
    <pivotTable tabId="6" name="PivotTable5"/>
    <pivotTable tabId="6" name="PivotTable6"/>
    <pivotTable tabId="6" name="PivotTable7"/>
  </pivotTables>
  <data>
    <tabular pivotCacheId="1">
      <items count="8">
        <i x="0" s="1"/>
        <i x="5" s="1"/>
        <i x="4" s="1"/>
        <i x="7" s="1"/>
        <i x="6"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6" name="Revenue by product"/>
    <pivotTable tabId="6" name="Month vs Revenue"/>
    <pivotTable tabId="6" name="Payment %"/>
    <pivotTable tabId="6" name="Top Region"/>
    <pivotTable tabId="6" name="PivotTable2"/>
    <pivotTable tabId="6" name="PivotTable1"/>
    <pivotTable tabId="6" name="PivotTable3"/>
    <pivotTable tabId="6" name="PivotTable4"/>
    <pivotTable tabId="6" name="PivotTable5"/>
    <pivotTable tabId="6" name="PivotTable6"/>
    <pivotTable tabId="6" name="PivotTable7"/>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6" name="Month vs Revenue"/>
    <pivotTable tabId="6" name="Payment %"/>
    <pivotTable tabId="6" name="PivotTable1"/>
    <pivotTable tabId="6" name="PivotTable2"/>
    <pivotTable tabId="6" name="PivotTable3"/>
    <pivotTable tabId="6" name="PivotTable4"/>
    <pivotTable tabId="6" name="PivotTable5"/>
    <pivotTable tabId="6" name="Revenue by product"/>
    <pivotTable tabId="6" name="Top Region"/>
    <pivotTable tabId="6" name="PivotTable6"/>
    <pivotTable tabId="6" name="PivotTable7"/>
  </pivotTables>
  <data>
    <tabular pivotCacheId="1">
      <items count="12">
        <i x="10" s="1"/>
        <i x="4" s="1"/>
        <i x="2" s="1"/>
        <i x="6" s="1"/>
        <i x="5" s="1"/>
        <i x="1" s="1"/>
        <i x="8" s="1"/>
        <i x="9" s="1"/>
        <i x="11" s="1"/>
        <i x="0" s="1"/>
        <i x="3"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6" name="Revenue by product"/>
    <pivotTable tabId="6" name="Month vs Revenue"/>
    <pivotTable tabId="6" name="Payment %"/>
    <pivotTable tabId="6" name="Top Region"/>
    <pivotTable tabId="6" name="PivotTable2"/>
    <pivotTable tabId="6" name="PivotTable1"/>
    <pivotTable tabId="6" name="PivotTable3"/>
    <pivotTable tabId="6" name="PivotTable4"/>
    <pivotTable tabId="6" name="PivotTable5"/>
    <pivotTable tabId="6" name="PivotTable6"/>
    <pivotTable tabId="6" name="PivotTable7"/>
  </pivotTables>
  <data>
    <tabular pivotCacheId="1">
      <items count="6">
        <i x="2" s="1"/>
        <i x="1" s="1"/>
        <i x="5" s="1"/>
        <i x="3" s="1"/>
        <i x="0" s="1"/>
        <i x="4"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Other2" rowHeight="225425"/>
  <slicer name="Customer Type" cache="Slicer_Customer_Type" caption="Customer Type" style="SlicerStyleOther2" rowHeight="225425"/>
  <slicer name="Month" cache="Slicer_Month" caption="Month" startItem="5" rowHeight="241300"/>
  <slicer name="Payment Method" cache="Slicer_Payment_Method" caption="Payment Method" style="SlicerStyleOther2"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2" cache="Slicer_Region" caption="Region" startItem="3" style="SlicerStyleOther2" rowHeight="225425"/>
  <slicer name="Customer Type 3" cache="Slicer_Customer_Type" caption="Customer Type" columnCount="2" style="SlicerStyleOther2" rowHeight="225425"/>
  <slicer name="Month 1" cache="Slicer_Month" caption="Month" rowHeight="241300"/>
  <slicer name="Payment Method 1" cache="Slicer_Payment_Method" caption="Payment Method" style="SlicerStyleOther2" rowHeight="225425"/>
</slicers>
</file>

<file path=xl/tables/table1.xml><?xml version="1.0" encoding="utf-8"?>
<table xmlns="http://schemas.openxmlformats.org/spreadsheetml/2006/main" id="1" name="Table1" displayName="Table1" ref="A1:R90" totalsRowShown="0">
  <autoFilter ref="A1:R90"/>
  <tableColumns count="18">
    <tableColumn id="1" name="Order ID"/>
    <tableColumn id="2" name="Date" dataDxfId="11"/>
    <tableColumn id="3" name="Salesperson"/>
    <tableColumn id="4" name="Region"/>
    <tableColumn id="5" name="Category"/>
    <tableColumn id="6" name="Product Name"/>
    <tableColumn id="7" name="Units Sold"/>
    <tableColumn id="8" name="Unit Price (PKR)"/>
    <tableColumn id="9" name="Discount %"/>
    <tableColumn id="10" name="Total Revenue (PKR)"/>
    <tableColumn id="11" name="Cost Price (Unit)"/>
    <tableColumn id="12" name="Total Cost (PKR)"/>
    <tableColumn id="13" name="Profit (PKR)"/>
    <tableColumn id="17" name="Margin" dataDxfId="10">
      <calculatedColumnFormula>M2/J2</calculatedColumnFormula>
    </tableColumn>
    <tableColumn id="14" name="Customer Type"/>
    <tableColumn id="15" name="Payment Method"/>
    <tableColumn id="16" name="Delivery Status"/>
    <tableColumn id="18" name="Month" dataDxfId="9">
      <calculatedColumnFormula>TEXT(B2,"MMM")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2">
            <a:lumMod val="75000"/>
          </a:schemeClr>
        </a:solidFill>
        <a:ln>
          <a:no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
  <sheetViews>
    <sheetView workbookViewId="0">
      <selection activeCell="R10" sqref="R10"/>
    </sheetView>
  </sheetViews>
  <sheetFormatPr defaultColWidth="8.7265625" defaultRowHeight="14.5"/>
  <sheetData>
    <row r="1" spans="1:15">
      <c r="A1" s="8" t="s">
        <v>0</v>
      </c>
      <c r="B1" s="8" t="s">
        <v>1</v>
      </c>
      <c r="C1" s="8" t="s">
        <v>2</v>
      </c>
      <c r="D1" s="8" t="s">
        <v>3</v>
      </c>
      <c r="E1" s="8" t="s">
        <v>4</v>
      </c>
      <c r="F1" s="8" t="s">
        <v>5</v>
      </c>
      <c r="G1" s="8" t="s">
        <v>6</v>
      </c>
      <c r="H1" s="8" t="s">
        <v>7</v>
      </c>
      <c r="I1" s="8" t="s">
        <v>8</v>
      </c>
      <c r="J1" s="8" t="s">
        <v>9</v>
      </c>
      <c r="K1" s="8" t="s">
        <v>10</v>
      </c>
      <c r="L1" s="8" t="s">
        <v>11</v>
      </c>
      <c r="M1" s="8" t="s">
        <v>12</v>
      </c>
      <c r="N1" s="8" t="s">
        <v>13</v>
      </c>
      <c r="O1" s="8" t="s">
        <v>14</v>
      </c>
    </row>
    <row r="2" spans="1:15">
      <c r="A2" s="9" t="s">
        <v>15</v>
      </c>
      <c r="B2" s="9" t="s">
        <v>16</v>
      </c>
      <c r="C2" s="9" t="s">
        <v>17</v>
      </c>
      <c r="D2" s="9" t="s">
        <v>18</v>
      </c>
      <c r="E2" s="9" t="s">
        <v>19</v>
      </c>
      <c r="F2" s="9" t="s">
        <v>20</v>
      </c>
      <c r="G2" s="9">
        <v>3</v>
      </c>
      <c r="H2" s="9">
        <v>25000</v>
      </c>
      <c r="I2" s="9">
        <v>5</v>
      </c>
      <c r="J2" s="9">
        <v>71250</v>
      </c>
      <c r="K2" s="9">
        <v>18000</v>
      </c>
      <c r="L2" s="9">
        <v>54000</v>
      </c>
      <c r="M2" s="9"/>
      <c r="N2" s="9" t="s">
        <v>21</v>
      </c>
      <c r="O2" s="9" t="s">
        <v>22</v>
      </c>
    </row>
    <row r="3" spans="1:15">
      <c r="A3" s="9" t="s">
        <v>23</v>
      </c>
      <c r="B3" s="9" t="s">
        <v>24</v>
      </c>
      <c r="C3" s="9" t="s">
        <v>25</v>
      </c>
      <c r="D3" s="9" t="s">
        <v>26</v>
      </c>
      <c r="E3" s="9" t="s">
        <v>19</v>
      </c>
      <c r="F3" s="9" t="s">
        <v>27</v>
      </c>
      <c r="G3" s="9"/>
      <c r="H3" s="9">
        <v>5000</v>
      </c>
      <c r="I3" s="9">
        <v>0</v>
      </c>
      <c r="J3" s="9">
        <v>90000</v>
      </c>
      <c r="K3" s="9">
        <v>3000</v>
      </c>
      <c r="L3" s="9">
        <v>54000</v>
      </c>
      <c r="M3" s="9" t="s">
        <v>28</v>
      </c>
      <c r="N3" s="9" t="s">
        <v>29</v>
      </c>
      <c r="O3" s="9" t="s">
        <v>30</v>
      </c>
    </row>
    <row r="4" spans="1:15">
      <c r="A4" s="9" t="s">
        <v>31</v>
      </c>
      <c r="B4" s="9" t="s">
        <v>32</v>
      </c>
      <c r="C4" s="9" t="s">
        <v>33</v>
      </c>
      <c r="D4" s="9" t="s">
        <v>34</v>
      </c>
      <c r="E4" s="9" t="s">
        <v>19</v>
      </c>
      <c r="F4" s="9" t="s">
        <v>20</v>
      </c>
      <c r="G4" s="9">
        <v>4</v>
      </c>
      <c r="H4" s="9">
        <v>25000</v>
      </c>
      <c r="I4" s="9">
        <v>5</v>
      </c>
      <c r="J4" s="9">
        <v>95000</v>
      </c>
      <c r="K4" s="9">
        <v>18000</v>
      </c>
      <c r="L4" s="9">
        <v>72000</v>
      </c>
      <c r="M4" s="9" t="s">
        <v>35</v>
      </c>
      <c r="N4" s="9" t="s">
        <v>36</v>
      </c>
      <c r="O4" s="9" t="s">
        <v>30</v>
      </c>
    </row>
    <row r="5" spans="1:15">
      <c r="A5" s="9" t="s">
        <v>37</v>
      </c>
      <c r="B5" s="9" t="s">
        <v>38</v>
      </c>
      <c r="C5" s="9" t="s">
        <v>39</v>
      </c>
      <c r="D5" s="9" t="s">
        <v>40</v>
      </c>
      <c r="E5" s="9" t="s">
        <v>19</v>
      </c>
      <c r="F5" s="9" t="s">
        <v>20</v>
      </c>
      <c r="G5" s="9">
        <v>11</v>
      </c>
      <c r="H5" s="9">
        <v>25000</v>
      </c>
      <c r="I5" s="9">
        <v>0</v>
      </c>
      <c r="J5" s="9">
        <v>275000</v>
      </c>
      <c r="K5" s="9">
        <v>18000</v>
      </c>
      <c r="L5" s="9">
        <v>198000</v>
      </c>
      <c r="M5" s="9" t="s">
        <v>35</v>
      </c>
      <c r="N5" s="9" t="s">
        <v>41</v>
      </c>
      <c r="O5" s="9" t="s">
        <v>22</v>
      </c>
    </row>
    <row r="6" spans="1:15">
      <c r="A6" s="9" t="s">
        <v>42</v>
      </c>
      <c r="B6" s="9" t="s">
        <v>43</v>
      </c>
      <c r="C6" s="9" t="s">
        <v>33</v>
      </c>
      <c r="D6" s="9" t="s">
        <v>44</v>
      </c>
      <c r="E6" s="9" t="s">
        <v>19</v>
      </c>
      <c r="F6" s="9" t="s">
        <v>45</v>
      </c>
      <c r="G6" s="9">
        <v>6</v>
      </c>
      <c r="H6" s="9">
        <v>85000</v>
      </c>
      <c r="I6" s="9">
        <v>15</v>
      </c>
      <c r="J6" s="9">
        <v>433500</v>
      </c>
      <c r="K6" s="9">
        <v>65000</v>
      </c>
      <c r="L6" s="9">
        <v>390000</v>
      </c>
      <c r="M6" s="9" t="s">
        <v>28</v>
      </c>
      <c r="N6" s="9" t="s">
        <v>46</v>
      </c>
      <c r="O6" s="9" t="s">
        <v>30</v>
      </c>
    </row>
    <row r="7" spans="1:15">
      <c r="A7" s="9" t="s">
        <v>47</v>
      </c>
      <c r="B7" s="9" t="s">
        <v>48</v>
      </c>
      <c r="C7" s="9" t="s">
        <v>49</v>
      </c>
      <c r="D7" s="9" t="s">
        <v>18</v>
      </c>
      <c r="E7" s="9" t="s">
        <v>19</v>
      </c>
      <c r="F7" s="9" t="s">
        <v>50</v>
      </c>
      <c r="G7" s="9">
        <v>8</v>
      </c>
      <c r="H7" s="9">
        <v>15000</v>
      </c>
      <c r="I7" s="9">
        <v>20</v>
      </c>
      <c r="J7" s="9">
        <v>96000</v>
      </c>
      <c r="K7" s="9">
        <v>10000</v>
      </c>
      <c r="L7" s="9">
        <v>80000</v>
      </c>
      <c r="M7" s="9" t="s">
        <v>35</v>
      </c>
      <c r="N7" s="9" t="s">
        <v>21</v>
      </c>
      <c r="O7" s="9" t="s">
        <v>30</v>
      </c>
    </row>
    <row r="8" spans="1:15">
      <c r="A8" s="9" t="s">
        <v>51</v>
      </c>
      <c r="B8" s="9" t="s">
        <v>52</v>
      </c>
      <c r="C8" s="9" t="s">
        <v>53</v>
      </c>
      <c r="D8" s="9" t="s">
        <v>54</v>
      </c>
      <c r="E8" s="9" t="s">
        <v>19</v>
      </c>
      <c r="F8" s="9" t="s">
        <v>27</v>
      </c>
      <c r="G8" s="9">
        <v>2</v>
      </c>
      <c r="H8" s="9">
        <v>5000</v>
      </c>
      <c r="I8" s="9">
        <v>15</v>
      </c>
      <c r="J8" s="9">
        <v>8500</v>
      </c>
      <c r="K8" s="9">
        <v>3000</v>
      </c>
      <c r="L8" s="9">
        <v>6000</v>
      </c>
      <c r="M8" s="9" t="s">
        <v>35</v>
      </c>
      <c r="N8" s="9" t="s">
        <v>55</v>
      </c>
      <c r="O8" s="9" t="s">
        <v>56</v>
      </c>
    </row>
    <row r="9" spans="1:15">
      <c r="A9" s="9" t="s">
        <v>57</v>
      </c>
      <c r="B9" s="9" t="s">
        <v>58</v>
      </c>
      <c r="C9" s="9" t="s">
        <v>59</v>
      </c>
      <c r="D9" s="9" t="s">
        <v>26</v>
      </c>
      <c r="E9" s="9" t="s">
        <v>19</v>
      </c>
      <c r="F9" s="9" t="s">
        <v>20</v>
      </c>
      <c r="G9" s="9">
        <v>20</v>
      </c>
      <c r="H9" s="9">
        <v>25000</v>
      </c>
      <c r="I9" s="9">
        <v>15</v>
      </c>
      <c r="J9" s="9">
        <v>425000</v>
      </c>
      <c r="K9" s="9">
        <v>18000</v>
      </c>
      <c r="L9" s="9">
        <v>360000</v>
      </c>
      <c r="M9" s="9" t="s">
        <v>28</v>
      </c>
      <c r="N9" s="9" t="s">
        <v>36</v>
      </c>
      <c r="O9" s="9" t="s">
        <v>56</v>
      </c>
    </row>
    <row r="10" spans="1:15">
      <c r="A10" s="9" t="s">
        <v>60</v>
      </c>
      <c r="B10" s="9" t="s">
        <v>61</v>
      </c>
      <c r="C10" s="9" t="s">
        <v>59</v>
      </c>
      <c r="D10" s="9" t="s">
        <v>44</v>
      </c>
      <c r="E10" s="9" t="s">
        <v>19</v>
      </c>
      <c r="F10" s="9" t="s">
        <v>45</v>
      </c>
      <c r="G10" s="9">
        <v>16</v>
      </c>
      <c r="H10" s="9">
        <v>85000</v>
      </c>
      <c r="I10" s="9">
        <v>20</v>
      </c>
      <c r="J10" s="9">
        <v>1088000</v>
      </c>
      <c r="K10" s="9">
        <v>65000</v>
      </c>
      <c r="L10" s="9">
        <v>1040000</v>
      </c>
      <c r="M10" s="9" t="s">
        <v>35</v>
      </c>
      <c r="N10" s="9" t="s">
        <v>46</v>
      </c>
      <c r="O10" s="9" t="s">
        <v>30</v>
      </c>
    </row>
    <row r="11" spans="1:15">
      <c r="A11" s="9" t="s">
        <v>62</v>
      </c>
      <c r="B11" s="9" t="s">
        <v>63</v>
      </c>
      <c r="C11" s="9" t="s">
        <v>59</v>
      </c>
      <c r="D11" s="9" t="s">
        <v>54</v>
      </c>
      <c r="E11" s="9" t="s">
        <v>19</v>
      </c>
      <c r="F11" s="9" t="s">
        <v>27</v>
      </c>
      <c r="G11" s="9">
        <v>14</v>
      </c>
      <c r="H11" s="9">
        <v>5000</v>
      </c>
      <c r="I11" s="9">
        <v>10</v>
      </c>
      <c r="J11" s="9">
        <v>63000</v>
      </c>
      <c r="K11" s="9">
        <v>3000</v>
      </c>
      <c r="L11" s="9">
        <v>42000</v>
      </c>
      <c r="M11" s="9" t="s">
        <v>28</v>
      </c>
      <c r="N11" s="9" t="s">
        <v>46</v>
      </c>
      <c r="O11" s="9" t="s">
        <v>30</v>
      </c>
    </row>
    <row r="12" spans="1:15">
      <c r="A12" s="9" t="s">
        <v>64</v>
      </c>
      <c r="B12" s="9" t="s">
        <v>65</v>
      </c>
      <c r="C12" s="9" t="s">
        <v>66</v>
      </c>
      <c r="D12" s="9" t="s">
        <v>40</v>
      </c>
      <c r="E12" s="9" t="s">
        <v>19</v>
      </c>
      <c r="F12" s="9" t="s">
        <v>50</v>
      </c>
      <c r="G12" s="9">
        <v>8</v>
      </c>
      <c r="H12" s="9">
        <v>15000</v>
      </c>
      <c r="I12" s="9">
        <v>0</v>
      </c>
      <c r="J12" s="9">
        <v>120000</v>
      </c>
      <c r="K12" s="9">
        <v>10000</v>
      </c>
      <c r="L12" s="9">
        <v>80000</v>
      </c>
      <c r="M12" s="9" t="s">
        <v>28</v>
      </c>
      <c r="N12" s="9" t="s">
        <v>36</v>
      </c>
      <c r="O12" s="9"/>
    </row>
    <row r="13" spans="1:15">
      <c r="A13" s="9" t="s">
        <v>67</v>
      </c>
      <c r="B13" s="9" t="s">
        <v>68</v>
      </c>
      <c r="C13" s="9" t="s">
        <v>69</v>
      </c>
      <c r="D13" s="9" t="s">
        <v>26</v>
      </c>
      <c r="E13" s="9" t="s">
        <v>19</v>
      </c>
      <c r="F13" s="9" t="s">
        <v>20</v>
      </c>
      <c r="G13" s="9">
        <v>8</v>
      </c>
      <c r="H13" s="9">
        <v>25000</v>
      </c>
      <c r="I13" s="9">
        <v>25</v>
      </c>
      <c r="J13" s="9">
        <v>150000</v>
      </c>
      <c r="K13" s="9">
        <v>18000</v>
      </c>
      <c r="L13" s="9">
        <v>144000</v>
      </c>
      <c r="M13" s="9" t="s">
        <v>35</v>
      </c>
      <c r="N13" s="9" t="s">
        <v>36</v>
      </c>
      <c r="O13" s="9" t="s">
        <v>56</v>
      </c>
    </row>
    <row r="14" spans="1:15">
      <c r="A14" s="9" t="s">
        <v>70</v>
      </c>
      <c r="B14" s="9" t="s">
        <v>71</v>
      </c>
      <c r="C14" s="9" t="s">
        <v>17</v>
      </c>
      <c r="D14" s="9" t="s">
        <v>34</v>
      </c>
      <c r="E14" s="9" t="s">
        <v>19</v>
      </c>
      <c r="F14" s="9" t="s">
        <v>45</v>
      </c>
      <c r="G14" s="9">
        <v>16</v>
      </c>
      <c r="H14" s="9">
        <v>85000</v>
      </c>
      <c r="I14" s="9">
        <v>25</v>
      </c>
      <c r="J14" s="9">
        <v>1020000</v>
      </c>
      <c r="K14" s="9">
        <v>65000</v>
      </c>
      <c r="L14" s="9">
        <v>1040000</v>
      </c>
      <c r="M14" s="9" t="s">
        <v>28</v>
      </c>
      <c r="N14" s="9" t="s">
        <v>21</v>
      </c>
      <c r="O14" s="9" t="s">
        <v>22</v>
      </c>
    </row>
    <row r="15" spans="1:15">
      <c r="A15" s="9" t="s">
        <v>72</v>
      </c>
      <c r="B15" s="9" t="s">
        <v>73</v>
      </c>
      <c r="C15" s="9" t="s">
        <v>33</v>
      </c>
      <c r="D15" s="9" t="s">
        <v>74</v>
      </c>
      <c r="E15" s="9" t="s">
        <v>19</v>
      </c>
      <c r="F15" s="9" t="s">
        <v>75</v>
      </c>
      <c r="G15" s="9">
        <v>4</v>
      </c>
      <c r="H15" s="9">
        <v>5000</v>
      </c>
      <c r="I15" s="9">
        <v>20</v>
      </c>
      <c r="J15" s="9">
        <v>16000</v>
      </c>
      <c r="K15" s="9">
        <v>3000</v>
      </c>
      <c r="L15" s="9">
        <v>12000</v>
      </c>
      <c r="M15" s="9" t="s">
        <v>28</v>
      </c>
      <c r="N15" s="9"/>
      <c r="O15" s="9" t="s">
        <v>22</v>
      </c>
    </row>
    <row r="16" spans="1:15">
      <c r="A16" s="9" t="s">
        <v>76</v>
      </c>
      <c r="B16" s="9" t="s">
        <v>77</v>
      </c>
      <c r="C16" s="9" t="s">
        <v>39</v>
      </c>
      <c r="D16" s="9" t="s">
        <v>74</v>
      </c>
      <c r="E16" s="9" t="s">
        <v>19</v>
      </c>
      <c r="F16" s="9" t="s">
        <v>75</v>
      </c>
      <c r="G16" s="9">
        <v>12</v>
      </c>
      <c r="H16" s="9">
        <v>35000</v>
      </c>
      <c r="I16" s="9">
        <v>10</v>
      </c>
      <c r="J16" s="9">
        <v>378000</v>
      </c>
      <c r="K16" s="9">
        <v>26000</v>
      </c>
      <c r="L16" s="9">
        <v>312000</v>
      </c>
      <c r="M16" s="9" t="s">
        <v>28</v>
      </c>
      <c r="N16" s="9" t="s">
        <v>55</v>
      </c>
      <c r="O16" s="9" t="s">
        <v>30</v>
      </c>
    </row>
    <row r="17" spans="1:15">
      <c r="A17" s="9" t="s">
        <v>78</v>
      </c>
      <c r="B17" s="9" t="s">
        <v>79</v>
      </c>
      <c r="C17" s="9" t="s">
        <v>53</v>
      </c>
      <c r="D17" s="9" t="s">
        <v>80</v>
      </c>
      <c r="E17" s="9" t="s">
        <v>19</v>
      </c>
      <c r="F17" s="9" t="s">
        <v>27</v>
      </c>
      <c r="G17" s="9">
        <v>12</v>
      </c>
      <c r="H17" s="9">
        <v>5000</v>
      </c>
      <c r="I17" s="9">
        <v>20</v>
      </c>
      <c r="J17" s="9">
        <v>48000</v>
      </c>
      <c r="K17" s="9">
        <v>3000</v>
      </c>
      <c r="L17" s="9">
        <v>36000</v>
      </c>
      <c r="M17" s="9" t="s">
        <v>28</v>
      </c>
      <c r="N17" s="9" t="s">
        <v>36</v>
      </c>
      <c r="O17" s="9" t="s">
        <v>81</v>
      </c>
    </row>
    <row r="18" spans="1:15">
      <c r="A18" s="9" t="s">
        <v>82</v>
      </c>
      <c r="B18" s="9" t="s">
        <v>83</v>
      </c>
      <c r="C18" s="9" t="s">
        <v>59</v>
      </c>
      <c r="D18" s="9" t="s">
        <v>84</v>
      </c>
      <c r="E18" s="9" t="s">
        <v>19</v>
      </c>
      <c r="F18" s="9" t="s">
        <v>85</v>
      </c>
      <c r="G18" s="9">
        <v>15</v>
      </c>
      <c r="H18" s="9">
        <v>35000</v>
      </c>
      <c r="I18" s="9">
        <v>0</v>
      </c>
      <c r="J18" s="9">
        <v>525000</v>
      </c>
      <c r="K18" s="9">
        <v>26000</v>
      </c>
      <c r="L18" s="9">
        <v>390000</v>
      </c>
      <c r="M18" s="9" t="s">
        <v>28</v>
      </c>
      <c r="N18" s="9" t="s">
        <v>36</v>
      </c>
      <c r="O18" s="9" t="s">
        <v>30</v>
      </c>
    </row>
    <row r="19" spans="1:15">
      <c r="A19" s="9" t="s">
        <v>86</v>
      </c>
      <c r="B19" s="9" t="s">
        <v>71</v>
      </c>
      <c r="C19" s="9" t="s">
        <v>66</v>
      </c>
      <c r="D19" s="9" t="s">
        <v>74</v>
      </c>
      <c r="E19" s="9" t="s">
        <v>19</v>
      </c>
      <c r="F19" s="9" t="s">
        <v>27</v>
      </c>
      <c r="G19" s="9">
        <v>1</v>
      </c>
      <c r="H19" s="9">
        <v>5000</v>
      </c>
      <c r="I19" s="9">
        <v>10</v>
      </c>
      <c r="J19" s="9">
        <v>4500</v>
      </c>
      <c r="K19" s="9">
        <v>3000</v>
      </c>
      <c r="L19" s="9">
        <v>3000</v>
      </c>
      <c r="M19" s="9"/>
      <c r="N19" s="9" t="s">
        <v>46</v>
      </c>
      <c r="O19" s="9" t="s">
        <v>30</v>
      </c>
    </row>
    <row r="20" spans="1:15">
      <c r="A20" s="9" t="s">
        <v>87</v>
      </c>
      <c r="B20" s="9" t="s">
        <v>88</v>
      </c>
      <c r="C20" s="9" t="s">
        <v>69</v>
      </c>
      <c r="D20" s="9" t="s">
        <v>40</v>
      </c>
      <c r="E20" s="9" t="s">
        <v>19</v>
      </c>
      <c r="F20" s="9" t="s">
        <v>27</v>
      </c>
      <c r="G20" s="9">
        <v>10</v>
      </c>
      <c r="H20" s="9">
        <v>5000</v>
      </c>
      <c r="I20" s="9">
        <v>25</v>
      </c>
      <c r="J20" s="9">
        <v>37500</v>
      </c>
      <c r="K20" s="9">
        <v>3000</v>
      </c>
      <c r="L20" s="9">
        <v>30000</v>
      </c>
      <c r="M20" s="9" t="s">
        <v>28</v>
      </c>
      <c r="N20" s="9" t="s">
        <v>29</v>
      </c>
      <c r="O20" s="9" t="s">
        <v>30</v>
      </c>
    </row>
    <row r="21" spans="1:15">
      <c r="A21" s="9" t="s">
        <v>89</v>
      </c>
      <c r="B21" s="9" t="s">
        <v>90</v>
      </c>
      <c r="C21" s="9" t="s">
        <v>53</v>
      </c>
      <c r="D21" s="9" t="s">
        <v>34</v>
      </c>
      <c r="E21" s="9" t="s">
        <v>19</v>
      </c>
      <c r="F21" s="9" t="s">
        <v>20</v>
      </c>
      <c r="G21" s="9">
        <v>8</v>
      </c>
      <c r="H21" s="9">
        <v>25000</v>
      </c>
      <c r="I21" s="9">
        <v>20</v>
      </c>
      <c r="J21" s="9">
        <v>160000</v>
      </c>
      <c r="K21" s="9">
        <v>18000</v>
      </c>
      <c r="L21" s="9">
        <v>144000</v>
      </c>
      <c r="M21" s="9" t="s">
        <v>35</v>
      </c>
      <c r="N21" s="9" t="s">
        <v>46</v>
      </c>
      <c r="O21" s="9" t="s">
        <v>30</v>
      </c>
    </row>
    <row r="22" spans="1:15">
      <c r="A22" s="9" t="s">
        <v>91</v>
      </c>
      <c r="B22" s="9" t="s">
        <v>92</v>
      </c>
      <c r="C22" s="9" t="s">
        <v>33</v>
      </c>
      <c r="D22" s="9" t="s">
        <v>74</v>
      </c>
      <c r="E22" s="9" t="s">
        <v>19</v>
      </c>
      <c r="F22" s="9" t="s">
        <v>75</v>
      </c>
      <c r="G22" s="9">
        <v>9</v>
      </c>
      <c r="H22" s="9">
        <v>5000</v>
      </c>
      <c r="I22" s="9"/>
      <c r="J22" s="9">
        <v>42750</v>
      </c>
      <c r="K22" s="9">
        <v>3000</v>
      </c>
      <c r="L22" s="9">
        <v>27000</v>
      </c>
      <c r="M22" s="9" t="s">
        <v>35</v>
      </c>
      <c r="N22" s="9" t="s">
        <v>46</v>
      </c>
      <c r="O22" s="9" t="s">
        <v>30</v>
      </c>
    </row>
    <row r="23" spans="1:15">
      <c r="A23" s="9" t="s">
        <v>93</v>
      </c>
      <c r="B23" s="9" t="s">
        <v>94</v>
      </c>
      <c r="C23" s="9" t="s">
        <v>25</v>
      </c>
      <c r="D23" s="9" t="s">
        <v>44</v>
      </c>
      <c r="E23" s="9" t="s">
        <v>19</v>
      </c>
      <c r="F23" s="9" t="s">
        <v>85</v>
      </c>
      <c r="G23" s="9">
        <v>8</v>
      </c>
      <c r="H23" s="9">
        <v>35000</v>
      </c>
      <c r="I23" s="9">
        <v>5</v>
      </c>
      <c r="J23" s="9">
        <v>266000</v>
      </c>
      <c r="K23" s="9">
        <v>26000</v>
      </c>
      <c r="L23" s="9">
        <v>208000</v>
      </c>
      <c r="M23" s="9" t="s">
        <v>35</v>
      </c>
      <c r="N23" s="9" t="s">
        <v>29</v>
      </c>
      <c r="O23" s="9" t="s">
        <v>56</v>
      </c>
    </row>
    <row r="24" spans="1:15">
      <c r="A24" s="9" t="s">
        <v>95</v>
      </c>
      <c r="B24" s="9" t="s">
        <v>96</v>
      </c>
      <c r="C24" s="9" t="s">
        <v>25</v>
      </c>
      <c r="D24" s="9" t="s">
        <v>74</v>
      </c>
      <c r="E24" s="9" t="s">
        <v>19</v>
      </c>
      <c r="F24" s="9" t="s">
        <v>45</v>
      </c>
      <c r="G24" s="9">
        <v>9</v>
      </c>
      <c r="H24" s="9">
        <v>85000</v>
      </c>
      <c r="I24" s="9">
        <v>0</v>
      </c>
      <c r="J24" s="9">
        <v>765000</v>
      </c>
      <c r="K24" s="9">
        <v>65000</v>
      </c>
      <c r="L24" s="9">
        <v>585000</v>
      </c>
      <c r="M24" s="9" t="s">
        <v>35</v>
      </c>
      <c r="N24" s="9" t="s">
        <v>36</v>
      </c>
      <c r="O24" s="9" t="s">
        <v>30</v>
      </c>
    </row>
    <row r="25" spans="1:15">
      <c r="A25" s="9" t="s">
        <v>97</v>
      </c>
      <c r="B25" s="9" t="s">
        <v>98</v>
      </c>
      <c r="C25" s="9" t="s">
        <v>99</v>
      </c>
      <c r="D25" s="9" t="s">
        <v>100</v>
      </c>
      <c r="E25" s="9" t="s">
        <v>19</v>
      </c>
      <c r="F25" s="9" t="s">
        <v>85</v>
      </c>
      <c r="G25" s="9">
        <v>20</v>
      </c>
      <c r="H25" s="9">
        <v>35000</v>
      </c>
      <c r="I25" s="9">
        <v>5</v>
      </c>
      <c r="J25" s="9">
        <v>665000</v>
      </c>
      <c r="K25" s="9">
        <v>26000</v>
      </c>
      <c r="L25" s="9">
        <v>520000</v>
      </c>
      <c r="M25" s="9" t="s">
        <v>35</v>
      </c>
      <c r="N25" s="9" t="s">
        <v>55</v>
      </c>
      <c r="O25" s="9" t="s">
        <v>30</v>
      </c>
    </row>
    <row r="26" spans="1:15">
      <c r="A26" s="9" t="s">
        <v>101</v>
      </c>
      <c r="B26" s="9" t="s">
        <v>102</v>
      </c>
      <c r="C26" s="9" t="s">
        <v>17</v>
      </c>
      <c r="D26" s="9" t="s">
        <v>18</v>
      </c>
      <c r="E26" s="9" t="s">
        <v>19</v>
      </c>
      <c r="F26" s="9" t="s">
        <v>85</v>
      </c>
      <c r="G26" s="9">
        <v>5</v>
      </c>
      <c r="H26" s="9">
        <v>35000</v>
      </c>
      <c r="I26" s="9">
        <v>20</v>
      </c>
      <c r="J26" s="9">
        <v>140000</v>
      </c>
      <c r="K26" s="9">
        <v>26000</v>
      </c>
      <c r="L26" s="9">
        <v>130000</v>
      </c>
      <c r="M26" s="9" t="s">
        <v>35</v>
      </c>
      <c r="N26" s="9"/>
      <c r="O26" s="9" t="s">
        <v>81</v>
      </c>
    </row>
    <row r="27" spans="1:15">
      <c r="A27" s="9" t="s">
        <v>103</v>
      </c>
      <c r="B27" s="9" t="s">
        <v>104</v>
      </c>
      <c r="C27" s="9" t="s">
        <v>25</v>
      </c>
      <c r="D27" s="9" t="s">
        <v>18</v>
      </c>
      <c r="E27" s="9" t="s">
        <v>19</v>
      </c>
      <c r="F27" s="9" t="s">
        <v>45</v>
      </c>
      <c r="G27" s="9">
        <v>1</v>
      </c>
      <c r="H27" s="9">
        <v>85000</v>
      </c>
      <c r="I27" s="9">
        <v>0</v>
      </c>
      <c r="J27" s="9">
        <v>85000</v>
      </c>
      <c r="K27" s="9">
        <v>65000</v>
      </c>
      <c r="L27" s="9">
        <v>65000</v>
      </c>
      <c r="M27" s="9" t="s">
        <v>35</v>
      </c>
      <c r="N27" s="9" t="s">
        <v>46</v>
      </c>
      <c r="O27" s="9" t="s">
        <v>30</v>
      </c>
    </row>
    <row r="28" spans="1:15">
      <c r="A28" s="9" t="s">
        <v>105</v>
      </c>
      <c r="B28" s="9" t="s">
        <v>106</v>
      </c>
      <c r="C28" s="9" t="s">
        <v>53</v>
      </c>
      <c r="D28" s="9" t="s">
        <v>74</v>
      </c>
      <c r="E28" s="9" t="s">
        <v>19</v>
      </c>
      <c r="F28" s="9" t="s">
        <v>20</v>
      </c>
      <c r="G28" s="9">
        <v>16</v>
      </c>
      <c r="H28" s="9">
        <v>25000</v>
      </c>
      <c r="I28" s="9">
        <v>25</v>
      </c>
      <c r="J28" s="9">
        <v>300000</v>
      </c>
      <c r="K28" s="9">
        <v>18000</v>
      </c>
      <c r="L28" s="9">
        <v>288000</v>
      </c>
      <c r="M28" s="9" t="s">
        <v>28</v>
      </c>
      <c r="N28" s="9" t="s">
        <v>55</v>
      </c>
      <c r="O28" s="9" t="s">
        <v>30</v>
      </c>
    </row>
    <row r="29" spans="1:15">
      <c r="A29" s="9" t="s">
        <v>107</v>
      </c>
      <c r="B29" s="9" t="s">
        <v>108</v>
      </c>
      <c r="C29" s="9" t="s">
        <v>49</v>
      </c>
      <c r="D29" s="9" t="s">
        <v>74</v>
      </c>
      <c r="E29" s="9" t="s">
        <v>19</v>
      </c>
      <c r="F29" s="9" t="s">
        <v>27</v>
      </c>
      <c r="G29" s="9">
        <v>2</v>
      </c>
      <c r="H29" s="9">
        <v>5000</v>
      </c>
      <c r="I29" s="9">
        <v>15</v>
      </c>
      <c r="J29" s="9">
        <v>8500</v>
      </c>
      <c r="K29" s="9">
        <v>3000</v>
      </c>
      <c r="L29" s="9">
        <v>6000</v>
      </c>
      <c r="M29" s="9" t="s">
        <v>35</v>
      </c>
      <c r="N29" s="9" t="s">
        <v>46</v>
      </c>
      <c r="O29" s="9" t="s">
        <v>81</v>
      </c>
    </row>
    <row r="30" spans="1:15">
      <c r="A30" s="9" t="s">
        <v>109</v>
      </c>
      <c r="B30" s="9" t="s">
        <v>110</v>
      </c>
      <c r="C30" s="9" t="s">
        <v>25</v>
      </c>
      <c r="D30" s="9" t="s">
        <v>80</v>
      </c>
      <c r="E30" s="9" t="s">
        <v>19</v>
      </c>
      <c r="F30" s="9" t="s">
        <v>45</v>
      </c>
      <c r="G30" s="9">
        <v>16</v>
      </c>
      <c r="H30" s="9">
        <v>85000</v>
      </c>
      <c r="I30" s="9">
        <v>15</v>
      </c>
      <c r="J30" s="9">
        <v>1156000</v>
      </c>
      <c r="K30" s="9">
        <v>65000</v>
      </c>
      <c r="L30" s="9">
        <v>1040000</v>
      </c>
      <c r="M30" s="9" t="s">
        <v>28</v>
      </c>
      <c r="N30" s="9" t="s">
        <v>36</v>
      </c>
      <c r="O30" s="9" t="s">
        <v>81</v>
      </c>
    </row>
    <row r="31" spans="1:15">
      <c r="A31" s="9" t="s">
        <v>111</v>
      </c>
      <c r="B31" s="9" t="s">
        <v>92</v>
      </c>
      <c r="C31" s="9" t="s">
        <v>53</v>
      </c>
      <c r="D31" s="9" t="s">
        <v>100</v>
      </c>
      <c r="E31" s="9" t="s">
        <v>19</v>
      </c>
      <c r="F31" s="9" t="s">
        <v>50</v>
      </c>
      <c r="G31" s="9">
        <v>20</v>
      </c>
      <c r="H31" s="9">
        <v>15000</v>
      </c>
      <c r="I31" s="9">
        <v>20</v>
      </c>
      <c r="J31" s="9">
        <v>240000</v>
      </c>
      <c r="K31" s="9">
        <v>10000</v>
      </c>
      <c r="L31" s="9">
        <v>200000</v>
      </c>
      <c r="M31" s="9" t="s">
        <v>28</v>
      </c>
      <c r="N31" s="9" t="s">
        <v>46</v>
      </c>
      <c r="O31" s="9" t="s">
        <v>30</v>
      </c>
    </row>
    <row r="32" spans="1:15">
      <c r="A32" s="9" t="s">
        <v>112</v>
      </c>
      <c r="B32" s="9" t="s">
        <v>113</v>
      </c>
      <c r="C32" s="9" t="s">
        <v>17</v>
      </c>
      <c r="D32" s="9" t="s">
        <v>80</v>
      </c>
      <c r="E32" s="9" t="s">
        <v>19</v>
      </c>
      <c r="F32" s="9" t="s">
        <v>45</v>
      </c>
      <c r="G32" s="9">
        <v>15</v>
      </c>
      <c r="H32" s="9">
        <v>85000</v>
      </c>
      <c r="I32" s="9">
        <v>15</v>
      </c>
      <c r="J32" s="9">
        <v>1083750</v>
      </c>
      <c r="K32" s="9">
        <v>65000</v>
      </c>
      <c r="L32" s="9">
        <v>975000</v>
      </c>
      <c r="M32" s="9" t="s">
        <v>35</v>
      </c>
      <c r="N32" s="9"/>
      <c r="O32" s="9" t="s">
        <v>30</v>
      </c>
    </row>
    <row r="33" spans="1:15">
      <c r="A33" s="9" t="s">
        <v>114</v>
      </c>
      <c r="B33" s="9" t="s">
        <v>115</v>
      </c>
      <c r="C33" s="9" t="s">
        <v>59</v>
      </c>
      <c r="D33" s="9" t="s">
        <v>18</v>
      </c>
      <c r="E33" s="9" t="s">
        <v>19</v>
      </c>
      <c r="F33" s="9" t="s">
        <v>45</v>
      </c>
      <c r="G33" s="9"/>
      <c r="H33" s="9">
        <v>85000</v>
      </c>
      <c r="I33" s="9">
        <v>10</v>
      </c>
      <c r="J33" s="9">
        <v>1147500</v>
      </c>
      <c r="K33" s="9">
        <v>65000</v>
      </c>
      <c r="L33" s="9">
        <v>975000</v>
      </c>
      <c r="M33" s="9" t="s">
        <v>35</v>
      </c>
      <c r="N33" s="9" t="s">
        <v>46</v>
      </c>
      <c r="O33" s="9" t="s">
        <v>30</v>
      </c>
    </row>
    <row r="34" spans="1:15">
      <c r="A34" s="9" t="s">
        <v>116</v>
      </c>
      <c r="B34" s="9" t="s">
        <v>117</v>
      </c>
      <c r="C34" s="9" t="s">
        <v>39</v>
      </c>
      <c r="D34" s="9" t="s">
        <v>100</v>
      </c>
      <c r="E34" s="9" t="s">
        <v>19</v>
      </c>
      <c r="F34" s="9" t="s">
        <v>85</v>
      </c>
      <c r="G34" s="9">
        <v>7</v>
      </c>
      <c r="H34" s="9">
        <v>35000</v>
      </c>
      <c r="I34" s="9">
        <v>5</v>
      </c>
      <c r="J34" s="9">
        <v>232750</v>
      </c>
      <c r="K34" s="9">
        <v>26000</v>
      </c>
      <c r="L34" s="9">
        <v>182000</v>
      </c>
      <c r="M34" s="9"/>
      <c r="N34" s="9" t="s">
        <v>29</v>
      </c>
      <c r="O34" s="9" t="s">
        <v>56</v>
      </c>
    </row>
    <row r="35" spans="1:15">
      <c r="A35" s="9" t="s">
        <v>118</v>
      </c>
      <c r="B35" s="9" t="s">
        <v>96</v>
      </c>
      <c r="C35" s="9" t="s">
        <v>53</v>
      </c>
      <c r="D35" s="9" t="s">
        <v>100</v>
      </c>
      <c r="E35" s="9" t="s">
        <v>19</v>
      </c>
      <c r="F35" s="9" t="s">
        <v>45</v>
      </c>
      <c r="G35" s="9"/>
      <c r="H35" s="9">
        <v>85000</v>
      </c>
      <c r="I35" s="9">
        <v>25</v>
      </c>
      <c r="J35" s="9">
        <v>892500</v>
      </c>
      <c r="K35" s="9">
        <v>65000</v>
      </c>
      <c r="L35" s="9">
        <v>910000</v>
      </c>
      <c r="M35" s="9" t="s">
        <v>28</v>
      </c>
      <c r="N35" s="9" t="s">
        <v>29</v>
      </c>
      <c r="O35" s="9" t="s">
        <v>30</v>
      </c>
    </row>
    <row r="36" spans="1:15">
      <c r="A36" s="9" t="s">
        <v>119</v>
      </c>
      <c r="B36" s="9" t="s">
        <v>120</v>
      </c>
      <c r="C36" s="9" t="s">
        <v>99</v>
      </c>
      <c r="D36" s="9" t="s">
        <v>26</v>
      </c>
      <c r="E36" s="9" t="s">
        <v>19</v>
      </c>
      <c r="F36" s="9" t="s">
        <v>45</v>
      </c>
      <c r="G36" s="9">
        <v>10</v>
      </c>
      <c r="H36" s="9">
        <v>85000</v>
      </c>
      <c r="I36" s="9">
        <v>10</v>
      </c>
      <c r="J36" s="9">
        <v>765000</v>
      </c>
      <c r="K36" s="9">
        <v>65000</v>
      </c>
      <c r="L36" s="9">
        <v>650000</v>
      </c>
      <c r="M36" s="9" t="s">
        <v>35</v>
      </c>
      <c r="N36" s="9" t="s">
        <v>36</v>
      </c>
      <c r="O36" s="9" t="s">
        <v>30</v>
      </c>
    </row>
    <row r="37" spans="1:15">
      <c r="A37" s="9" t="s">
        <v>121</v>
      </c>
      <c r="B37" s="9" t="s">
        <v>92</v>
      </c>
      <c r="C37" s="9" t="s">
        <v>33</v>
      </c>
      <c r="D37" s="9" t="s">
        <v>26</v>
      </c>
      <c r="E37" s="9" t="s">
        <v>19</v>
      </c>
      <c r="F37" s="9" t="s">
        <v>27</v>
      </c>
      <c r="G37" s="9">
        <v>3</v>
      </c>
      <c r="H37" s="9">
        <v>5000</v>
      </c>
      <c r="I37" s="9">
        <v>15</v>
      </c>
      <c r="J37" s="9">
        <v>12750</v>
      </c>
      <c r="K37" s="9">
        <v>3000</v>
      </c>
      <c r="L37" s="9">
        <v>9000</v>
      </c>
      <c r="M37" s="9" t="s">
        <v>35</v>
      </c>
      <c r="N37" s="9" t="s">
        <v>21</v>
      </c>
      <c r="O37" s="9" t="s">
        <v>30</v>
      </c>
    </row>
    <row r="38" spans="1:15">
      <c r="A38" s="9" t="s">
        <v>122</v>
      </c>
      <c r="B38" s="9" t="s">
        <v>123</v>
      </c>
      <c r="C38" s="9" t="s">
        <v>69</v>
      </c>
      <c r="D38" s="9" t="s">
        <v>80</v>
      </c>
      <c r="E38" s="9" t="s">
        <v>19</v>
      </c>
      <c r="F38" s="9" t="s">
        <v>45</v>
      </c>
      <c r="G38" s="9">
        <v>20</v>
      </c>
      <c r="H38" s="9">
        <v>85000</v>
      </c>
      <c r="I38" s="9">
        <v>25</v>
      </c>
      <c r="J38" s="9">
        <v>1275000</v>
      </c>
      <c r="K38" s="9">
        <v>65000</v>
      </c>
      <c r="L38" s="9">
        <v>1300000</v>
      </c>
      <c r="M38" s="9" t="s">
        <v>28</v>
      </c>
      <c r="N38" s="9" t="s">
        <v>29</v>
      </c>
      <c r="O38" s="9" t="s">
        <v>30</v>
      </c>
    </row>
    <row r="39" spans="1:15">
      <c r="A39" s="9" t="s">
        <v>124</v>
      </c>
      <c r="B39" s="9" t="s">
        <v>125</v>
      </c>
      <c r="C39" s="9" t="s">
        <v>69</v>
      </c>
      <c r="D39" s="9" t="s">
        <v>34</v>
      </c>
      <c r="E39" s="9" t="s">
        <v>19</v>
      </c>
      <c r="F39" s="9" t="s">
        <v>50</v>
      </c>
      <c r="G39" s="9">
        <v>5</v>
      </c>
      <c r="H39" s="9">
        <v>15000</v>
      </c>
      <c r="I39" s="9">
        <v>20</v>
      </c>
      <c r="J39" s="9">
        <v>60000</v>
      </c>
      <c r="K39" s="9">
        <v>10000</v>
      </c>
      <c r="L39" s="9">
        <v>50000</v>
      </c>
      <c r="M39" s="9" t="s">
        <v>28</v>
      </c>
      <c r="N39" s="9" t="s">
        <v>46</v>
      </c>
      <c r="O39" s="9" t="s">
        <v>30</v>
      </c>
    </row>
    <row r="40" spans="1:15">
      <c r="A40" s="9" t="s">
        <v>126</v>
      </c>
      <c r="B40" s="9" t="s">
        <v>127</v>
      </c>
      <c r="C40" s="9" t="s">
        <v>49</v>
      </c>
      <c r="D40" s="9" t="s">
        <v>100</v>
      </c>
      <c r="E40" s="9" t="s">
        <v>19</v>
      </c>
      <c r="F40" s="9" t="s">
        <v>45</v>
      </c>
      <c r="G40" s="9">
        <v>16</v>
      </c>
      <c r="H40" s="9">
        <v>85000</v>
      </c>
      <c r="I40" s="9">
        <v>20</v>
      </c>
      <c r="J40" s="9">
        <v>1088000</v>
      </c>
      <c r="K40" s="9">
        <v>65000</v>
      </c>
      <c r="L40" s="9">
        <v>1040000</v>
      </c>
      <c r="M40" s="9" t="s">
        <v>28</v>
      </c>
      <c r="N40" s="9" t="s">
        <v>21</v>
      </c>
      <c r="O40" s="9" t="s">
        <v>30</v>
      </c>
    </row>
    <row r="41" spans="1:15">
      <c r="A41" s="9" t="s">
        <v>128</v>
      </c>
      <c r="B41" s="9" t="s">
        <v>129</v>
      </c>
      <c r="C41" s="9" t="s">
        <v>59</v>
      </c>
      <c r="D41" s="9" t="s">
        <v>34</v>
      </c>
      <c r="E41" s="9" t="s">
        <v>19</v>
      </c>
      <c r="F41" s="9" t="s">
        <v>85</v>
      </c>
      <c r="G41" s="9">
        <v>12</v>
      </c>
      <c r="H41" s="9">
        <v>35000</v>
      </c>
      <c r="I41" s="9">
        <v>25</v>
      </c>
      <c r="J41" s="9">
        <v>315000</v>
      </c>
      <c r="K41" s="9">
        <v>26000</v>
      </c>
      <c r="L41" s="9">
        <v>312000</v>
      </c>
      <c r="M41" s="9" t="s">
        <v>35</v>
      </c>
      <c r="N41" s="9" t="s">
        <v>21</v>
      </c>
      <c r="O41" s="9" t="s">
        <v>30</v>
      </c>
    </row>
    <row r="42" spans="1:15">
      <c r="A42" s="9" t="s">
        <v>130</v>
      </c>
      <c r="B42" s="9" t="s">
        <v>131</v>
      </c>
      <c r="C42" s="9" t="s">
        <v>49</v>
      </c>
      <c r="D42" s="9" t="s">
        <v>40</v>
      </c>
      <c r="E42" s="9" t="s">
        <v>19</v>
      </c>
      <c r="F42" s="9" t="s">
        <v>20</v>
      </c>
      <c r="G42" s="9">
        <v>14</v>
      </c>
      <c r="H42" s="9">
        <v>25000</v>
      </c>
      <c r="I42" s="9"/>
      <c r="J42" s="9">
        <v>315000</v>
      </c>
      <c r="K42" s="9">
        <v>18000</v>
      </c>
      <c r="L42" s="9">
        <v>252000</v>
      </c>
      <c r="M42" s="9" t="s">
        <v>28</v>
      </c>
      <c r="N42" s="9" t="s">
        <v>29</v>
      </c>
      <c r="O42" s="9" t="s">
        <v>22</v>
      </c>
    </row>
    <row r="43" spans="1:15">
      <c r="A43" s="9" t="s">
        <v>132</v>
      </c>
      <c r="B43" s="9" t="s">
        <v>133</v>
      </c>
      <c r="C43" s="9" t="s">
        <v>69</v>
      </c>
      <c r="D43" s="9" t="s">
        <v>34</v>
      </c>
      <c r="E43" s="9" t="s">
        <v>19</v>
      </c>
      <c r="F43" s="9" t="s">
        <v>45</v>
      </c>
      <c r="G43" s="9">
        <v>19</v>
      </c>
      <c r="H43" s="9">
        <v>85000</v>
      </c>
      <c r="I43" s="9">
        <v>15</v>
      </c>
      <c r="J43" s="9">
        <v>1372750</v>
      </c>
      <c r="K43" s="9">
        <v>65000</v>
      </c>
      <c r="L43" s="9">
        <v>1235000</v>
      </c>
      <c r="M43" s="9" t="s">
        <v>35</v>
      </c>
      <c r="N43" s="9" t="s">
        <v>21</v>
      </c>
      <c r="O43" s="9" t="s">
        <v>30</v>
      </c>
    </row>
    <row r="44" spans="1:15">
      <c r="A44" s="9" t="s">
        <v>134</v>
      </c>
      <c r="B44" s="9" t="s">
        <v>135</v>
      </c>
      <c r="C44" s="9" t="s">
        <v>17</v>
      </c>
      <c r="D44" s="9" t="s">
        <v>44</v>
      </c>
      <c r="E44" s="9" t="s">
        <v>19</v>
      </c>
      <c r="F44" s="9" t="s">
        <v>27</v>
      </c>
      <c r="G44" s="9">
        <v>2</v>
      </c>
      <c r="H44" s="9">
        <v>5000</v>
      </c>
      <c r="I44" s="9">
        <v>10</v>
      </c>
      <c r="J44" s="9">
        <v>9000</v>
      </c>
      <c r="K44" s="9">
        <v>3000</v>
      </c>
      <c r="L44" s="9">
        <v>6000</v>
      </c>
      <c r="M44" s="9" t="s">
        <v>28</v>
      </c>
      <c r="N44" s="9" t="s">
        <v>55</v>
      </c>
      <c r="O44" s="9" t="s">
        <v>56</v>
      </c>
    </row>
    <row r="45" spans="1:15">
      <c r="A45" s="9" t="s">
        <v>136</v>
      </c>
      <c r="B45" s="9" t="s">
        <v>137</v>
      </c>
      <c r="C45" s="9" t="s">
        <v>59</v>
      </c>
      <c r="D45" s="9" t="s">
        <v>74</v>
      </c>
      <c r="E45" s="9" t="s">
        <v>19</v>
      </c>
      <c r="F45" s="9" t="s">
        <v>75</v>
      </c>
      <c r="G45" s="9">
        <v>18</v>
      </c>
      <c r="H45" s="9">
        <v>85000</v>
      </c>
      <c r="I45" s="9">
        <v>15</v>
      </c>
      <c r="J45" s="9">
        <v>1300500</v>
      </c>
      <c r="K45" s="9">
        <v>65000</v>
      </c>
      <c r="L45" s="9">
        <v>1170000</v>
      </c>
      <c r="M45" s="9" t="s">
        <v>35</v>
      </c>
      <c r="N45" s="9" t="s">
        <v>36</v>
      </c>
      <c r="O45" s="9" t="s">
        <v>138</v>
      </c>
    </row>
    <row r="46" spans="1:15">
      <c r="A46" s="9" t="s">
        <v>139</v>
      </c>
      <c r="B46" s="9" t="s">
        <v>140</v>
      </c>
      <c r="C46" s="9" t="s">
        <v>49</v>
      </c>
      <c r="D46" s="9" t="s">
        <v>40</v>
      </c>
      <c r="E46" s="9" t="s">
        <v>19</v>
      </c>
      <c r="F46" s="9" t="s">
        <v>20</v>
      </c>
      <c r="G46" s="9">
        <v>20</v>
      </c>
      <c r="H46" s="9">
        <v>25000</v>
      </c>
      <c r="I46" s="9">
        <v>0</v>
      </c>
      <c r="J46" s="9">
        <v>500000</v>
      </c>
      <c r="K46" s="9">
        <v>18000</v>
      </c>
      <c r="L46" s="9">
        <v>360000</v>
      </c>
      <c r="M46" s="9" t="s">
        <v>28</v>
      </c>
      <c r="N46" s="9" t="s">
        <v>21</v>
      </c>
      <c r="O46" s="9" t="s">
        <v>22</v>
      </c>
    </row>
    <row r="47" spans="1:15">
      <c r="A47" s="9" t="s">
        <v>141</v>
      </c>
      <c r="B47" s="9" t="s">
        <v>142</v>
      </c>
      <c r="C47" s="9" t="s">
        <v>25</v>
      </c>
      <c r="D47" s="9" t="s">
        <v>44</v>
      </c>
      <c r="E47" s="9" t="s">
        <v>19</v>
      </c>
      <c r="F47" s="9" t="s">
        <v>45</v>
      </c>
      <c r="G47" s="9">
        <v>19</v>
      </c>
      <c r="H47" s="9">
        <v>85000</v>
      </c>
      <c r="I47" s="9">
        <v>25</v>
      </c>
      <c r="J47" s="9">
        <v>1211250</v>
      </c>
      <c r="K47" s="9">
        <v>65000</v>
      </c>
      <c r="L47" s="9">
        <v>1235000</v>
      </c>
      <c r="M47" s="9" t="s">
        <v>35</v>
      </c>
      <c r="N47" s="9" t="s">
        <v>46</v>
      </c>
      <c r="O47" s="9" t="s">
        <v>30</v>
      </c>
    </row>
    <row r="48" spans="1:15">
      <c r="A48" s="9" t="s">
        <v>143</v>
      </c>
      <c r="B48" s="9" t="s">
        <v>144</v>
      </c>
      <c r="C48" s="9" t="s">
        <v>66</v>
      </c>
      <c r="D48" s="9" t="s">
        <v>44</v>
      </c>
      <c r="E48" s="9" t="s">
        <v>19</v>
      </c>
      <c r="F48" s="9" t="s">
        <v>50</v>
      </c>
      <c r="G48" s="9">
        <v>9</v>
      </c>
      <c r="H48" s="9">
        <v>15000</v>
      </c>
      <c r="I48" s="9">
        <v>20</v>
      </c>
      <c r="J48" s="9">
        <v>108000</v>
      </c>
      <c r="K48" s="9">
        <v>10000</v>
      </c>
      <c r="L48" s="9">
        <v>90000</v>
      </c>
      <c r="M48" s="9" t="s">
        <v>28</v>
      </c>
      <c r="N48" s="9" t="s">
        <v>29</v>
      </c>
      <c r="O48" s="9" t="s">
        <v>30</v>
      </c>
    </row>
    <row r="49" spans="1:15">
      <c r="A49" s="9" t="s">
        <v>145</v>
      </c>
      <c r="B49" s="9" t="s">
        <v>146</v>
      </c>
      <c r="C49" s="9" t="s">
        <v>66</v>
      </c>
      <c r="D49" s="9" t="s">
        <v>80</v>
      </c>
      <c r="E49" s="9" t="s">
        <v>19</v>
      </c>
      <c r="F49" s="9" t="s">
        <v>20</v>
      </c>
      <c r="G49" s="9">
        <v>17</v>
      </c>
      <c r="H49" s="9">
        <v>25000</v>
      </c>
      <c r="I49" s="9">
        <v>5</v>
      </c>
      <c r="J49" s="9">
        <v>403750</v>
      </c>
      <c r="K49" s="9">
        <v>18000</v>
      </c>
      <c r="L49" s="9">
        <v>306000</v>
      </c>
      <c r="M49" s="9" t="s">
        <v>35</v>
      </c>
      <c r="N49" s="9" t="s">
        <v>55</v>
      </c>
      <c r="O49" s="9" t="s">
        <v>22</v>
      </c>
    </row>
    <row r="50" spans="1:15">
      <c r="A50" s="9" t="s">
        <v>147</v>
      </c>
      <c r="B50" s="9" t="s">
        <v>148</v>
      </c>
      <c r="C50" s="9" t="s">
        <v>49</v>
      </c>
      <c r="D50" s="9" t="s">
        <v>26</v>
      </c>
      <c r="E50" s="9" t="s">
        <v>19</v>
      </c>
      <c r="F50" s="9" t="s">
        <v>20</v>
      </c>
      <c r="G50" s="9">
        <v>3</v>
      </c>
      <c r="H50" s="9">
        <v>25000</v>
      </c>
      <c r="I50" s="9">
        <v>15</v>
      </c>
      <c r="J50" s="9">
        <v>63750</v>
      </c>
      <c r="K50" s="9">
        <v>18000</v>
      </c>
      <c r="L50" s="9">
        <v>54000</v>
      </c>
      <c r="M50" s="9" t="s">
        <v>28</v>
      </c>
      <c r="N50" s="9" t="s">
        <v>46</v>
      </c>
      <c r="O50" s="9"/>
    </row>
    <row r="51" spans="1:15">
      <c r="A51" s="9" t="s">
        <v>149</v>
      </c>
      <c r="B51" s="9" t="s">
        <v>150</v>
      </c>
      <c r="C51" s="9" t="s">
        <v>39</v>
      </c>
      <c r="D51" s="9" t="s">
        <v>80</v>
      </c>
      <c r="E51" s="9" t="s">
        <v>19</v>
      </c>
      <c r="F51" s="9" t="s">
        <v>27</v>
      </c>
      <c r="G51" s="9">
        <v>14</v>
      </c>
      <c r="H51" s="9">
        <v>5000</v>
      </c>
      <c r="I51" s="9">
        <v>25</v>
      </c>
      <c r="J51" s="9">
        <v>52500</v>
      </c>
      <c r="K51" s="9">
        <v>3000</v>
      </c>
      <c r="L51" s="9">
        <v>42000</v>
      </c>
      <c r="M51" s="9" t="s">
        <v>28</v>
      </c>
      <c r="N51" s="9" t="s">
        <v>21</v>
      </c>
      <c r="O51" s="9" t="s">
        <v>138</v>
      </c>
    </row>
    <row r="52" spans="1:15">
      <c r="A52" s="9" t="s">
        <v>151</v>
      </c>
      <c r="B52" s="9" t="s">
        <v>152</v>
      </c>
      <c r="C52" s="9" t="s">
        <v>17</v>
      </c>
      <c r="D52" s="9" t="s">
        <v>74</v>
      </c>
      <c r="E52" s="9" t="s">
        <v>19</v>
      </c>
      <c r="F52" s="9" t="s">
        <v>20</v>
      </c>
      <c r="G52" s="9">
        <v>14</v>
      </c>
      <c r="H52" s="9">
        <v>25000</v>
      </c>
      <c r="I52" s="9">
        <v>5</v>
      </c>
      <c r="J52" s="9">
        <v>332500</v>
      </c>
      <c r="K52" s="9">
        <v>18000</v>
      </c>
      <c r="L52" s="9">
        <v>252000</v>
      </c>
      <c r="M52" s="9" t="s">
        <v>35</v>
      </c>
      <c r="N52" s="9" t="s">
        <v>41</v>
      </c>
      <c r="O52" s="9" t="s">
        <v>22</v>
      </c>
    </row>
    <row r="53" spans="1:15">
      <c r="A53" s="9" t="s">
        <v>153</v>
      </c>
      <c r="B53" s="9" t="s">
        <v>154</v>
      </c>
      <c r="C53" s="9" t="s">
        <v>33</v>
      </c>
      <c r="D53" s="9" t="s">
        <v>18</v>
      </c>
      <c r="E53" s="9" t="s">
        <v>19</v>
      </c>
      <c r="F53" s="9" t="s">
        <v>20</v>
      </c>
      <c r="G53" s="9">
        <v>3</v>
      </c>
      <c r="H53" s="9">
        <v>25000</v>
      </c>
      <c r="I53" s="9">
        <v>10</v>
      </c>
      <c r="J53" s="9">
        <v>67500</v>
      </c>
      <c r="K53" s="9">
        <v>18000</v>
      </c>
      <c r="L53" s="9">
        <v>54000</v>
      </c>
      <c r="M53" s="9" t="s">
        <v>35</v>
      </c>
      <c r="N53" s="9" t="s">
        <v>21</v>
      </c>
      <c r="O53" s="9" t="s">
        <v>30</v>
      </c>
    </row>
    <row r="54" spans="1:15">
      <c r="A54" s="9" t="s">
        <v>155</v>
      </c>
      <c r="B54" s="9" t="s">
        <v>156</v>
      </c>
      <c r="C54" s="9" t="s">
        <v>17</v>
      </c>
      <c r="D54" s="9" t="s">
        <v>44</v>
      </c>
      <c r="E54" s="9" t="s">
        <v>19</v>
      </c>
      <c r="F54" s="9" t="s">
        <v>85</v>
      </c>
      <c r="G54" s="9">
        <v>8</v>
      </c>
      <c r="H54" s="9">
        <v>35000</v>
      </c>
      <c r="I54" s="9">
        <v>20</v>
      </c>
      <c r="J54" s="9">
        <v>224000</v>
      </c>
      <c r="K54" s="9">
        <v>26000</v>
      </c>
      <c r="L54" s="9">
        <v>208000</v>
      </c>
      <c r="M54" s="9" t="s">
        <v>35</v>
      </c>
      <c r="N54" s="9" t="s">
        <v>46</v>
      </c>
      <c r="O54" s="9" t="s">
        <v>30</v>
      </c>
    </row>
    <row r="55" spans="1:15">
      <c r="A55" s="9" t="s">
        <v>157</v>
      </c>
      <c r="B55" s="9" t="s">
        <v>158</v>
      </c>
      <c r="C55" s="9" t="s">
        <v>99</v>
      </c>
      <c r="D55" s="9" t="s">
        <v>74</v>
      </c>
      <c r="E55" s="9" t="s">
        <v>19</v>
      </c>
      <c r="F55" s="9" t="s">
        <v>50</v>
      </c>
      <c r="G55" s="9"/>
      <c r="H55" s="9">
        <v>15000</v>
      </c>
      <c r="I55" s="9"/>
      <c r="J55" s="9">
        <v>185250</v>
      </c>
      <c r="K55" s="9">
        <v>10000</v>
      </c>
      <c r="L55" s="9">
        <v>130000</v>
      </c>
      <c r="M55" s="9"/>
      <c r="N55" s="9"/>
      <c r="O55" s="9"/>
    </row>
    <row r="56" spans="1:15">
      <c r="A56" s="9" t="s">
        <v>159</v>
      </c>
      <c r="B56" s="9" t="s">
        <v>160</v>
      </c>
      <c r="C56" s="9" t="s">
        <v>25</v>
      </c>
      <c r="D56" s="9" t="s">
        <v>54</v>
      </c>
      <c r="E56" s="9" t="s">
        <v>19</v>
      </c>
      <c r="F56" s="9" t="s">
        <v>85</v>
      </c>
      <c r="G56" s="9"/>
      <c r="H56" s="9">
        <v>35000</v>
      </c>
      <c r="I56" s="9"/>
      <c r="J56" s="9">
        <v>196000</v>
      </c>
      <c r="K56" s="9">
        <v>26000</v>
      </c>
      <c r="L56" s="9">
        <v>182000</v>
      </c>
      <c r="M56" s="9"/>
      <c r="N56" s="9"/>
      <c r="O56" s="9"/>
    </row>
    <row r="57" spans="1:15">
      <c r="A57" s="9" t="s">
        <v>161</v>
      </c>
      <c r="B57" s="9" t="s">
        <v>110</v>
      </c>
      <c r="C57" s="9" t="s">
        <v>99</v>
      </c>
      <c r="D57" s="9" t="s">
        <v>100</v>
      </c>
      <c r="E57" s="9" t="s">
        <v>19</v>
      </c>
      <c r="F57" s="9" t="s">
        <v>50</v>
      </c>
      <c r="G57" s="9">
        <v>3</v>
      </c>
      <c r="H57" s="9">
        <v>15000</v>
      </c>
      <c r="I57" s="9">
        <v>0</v>
      </c>
      <c r="J57" s="9">
        <v>45000</v>
      </c>
      <c r="K57" s="9">
        <v>10000</v>
      </c>
      <c r="L57" s="9">
        <v>30000</v>
      </c>
      <c r="M57" s="9" t="s">
        <v>28</v>
      </c>
      <c r="N57" s="9" t="s">
        <v>55</v>
      </c>
      <c r="O57" s="9" t="s">
        <v>30</v>
      </c>
    </row>
    <row r="58" spans="1:15">
      <c r="A58" s="9" t="s">
        <v>162</v>
      </c>
      <c r="B58" s="9" t="s">
        <v>163</v>
      </c>
      <c r="C58" s="9" t="s">
        <v>59</v>
      </c>
      <c r="D58" s="9" t="s">
        <v>80</v>
      </c>
      <c r="E58" s="9" t="s">
        <v>19</v>
      </c>
      <c r="F58" s="9" t="s">
        <v>50</v>
      </c>
      <c r="G58" s="9">
        <v>14</v>
      </c>
      <c r="H58" s="9">
        <v>15000</v>
      </c>
      <c r="I58" s="9"/>
      <c r="J58" s="9">
        <v>199500</v>
      </c>
      <c r="K58" s="9">
        <v>10000</v>
      </c>
      <c r="L58" s="9">
        <v>140000</v>
      </c>
      <c r="M58" s="9" t="s">
        <v>28</v>
      </c>
      <c r="N58" s="9" t="s">
        <v>55</v>
      </c>
      <c r="O58" s="9" t="s">
        <v>30</v>
      </c>
    </row>
    <row r="59" spans="1:15">
      <c r="A59" s="9" t="s">
        <v>164</v>
      </c>
      <c r="B59" s="9" t="s">
        <v>165</v>
      </c>
      <c r="C59" s="9" t="s">
        <v>39</v>
      </c>
      <c r="D59" s="9" t="s">
        <v>54</v>
      </c>
      <c r="E59" s="9" t="s">
        <v>19</v>
      </c>
      <c r="F59" s="9" t="s">
        <v>27</v>
      </c>
      <c r="G59" s="9">
        <v>10</v>
      </c>
      <c r="H59" s="9">
        <v>5000</v>
      </c>
      <c r="I59" s="9">
        <v>10</v>
      </c>
      <c r="J59" s="9">
        <v>45000</v>
      </c>
      <c r="K59" s="9">
        <v>3000</v>
      </c>
      <c r="L59" s="9">
        <v>30000</v>
      </c>
      <c r="M59" s="9" t="s">
        <v>28</v>
      </c>
      <c r="N59" s="9"/>
      <c r="O59" s="9" t="s">
        <v>30</v>
      </c>
    </row>
    <row r="60" spans="1:15">
      <c r="A60" s="9" t="s">
        <v>166</v>
      </c>
      <c r="B60" s="9" t="s">
        <v>63</v>
      </c>
      <c r="C60" s="9" t="s">
        <v>39</v>
      </c>
      <c r="D60" s="9" t="s">
        <v>74</v>
      </c>
      <c r="E60" s="9" t="s">
        <v>19</v>
      </c>
      <c r="F60" s="9" t="s">
        <v>27</v>
      </c>
      <c r="G60" s="9">
        <v>10</v>
      </c>
      <c r="H60" s="9">
        <v>5000</v>
      </c>
      <c r="I60" s="9">
        <v>0</v>
      </c>
      <c r="J60" s="9">
        <v>50000</v>
      </c>
      <c r="K60" s="9">
        <v>3000</v>
      </c>
      <c r="L60" s="9">
        <v>30000</v>
      </c>
      <c r="M60" s="9" t="s">
        <v>35</v>
      </c>
      <c r="N60" s="9" t="s">
        <v>21</v>
      </c>
      <c r="O60" s="9" t="s">
        <v>138</v>
      </c>
    </row>
    <row r="61" spans="1:15">
      <c r="A61" s="9" t="s">
        <v>167</v>
      </c>
      <c r="B61" s="9" t="s">
        <v>168</v>
      </c>
      <c r="C61" s="9" t="s">
        <v>53</v>
      </c>
      <c r="D61" s="9" t="s">
        <v>100</v>
      </c>
      <c r="E61" s="9" t="s">
        <v>19</v>
      </c>
      <c r="F61" s="9" t="s">
        <v>45</v>
      </c>
      <c r="G61" s="9"/>
      <c r="H61" s="9">
        <v>85000</v>
      </c>
      <c r="I61" s="9"/>
      <c r="J61" s="9">
        <v>637500</v>
      </c>
      <c r="K61" s="9">
        <v>65000</v>
      </c>
      <c r="L61" s="9">
        <v>650000</v>
      </c>
      <c r="M61" s="9"/>
      <c r="N61" s="9"/>
      <c r="O61" s="9"/>
    </row>
    <row r="62" spans="1:15">
      <c r="A62" s="9" t="s">
        <v>169</v>
      </c>
      <c r="B62" s="9" t="s">
        <v>152</v>
      </c>
      <c r="C62" s="9" t="s">
        <v>17</v>
      </c>
      <c r="D62" s="9" t="s">
        <v>44</v>
      </c>
      <c r="E62" s="9" t="s">
        <v>19</v>
      </c>
      <c r="F62" s="9" t="s">
        <v>45</v>
      </c>
      <c r="G62" s="9"/>
      <c r="H62" s="9">
        <v>85000</v>
      </c>
      <c r="I62" s="9"/>
      <c r="J62" s="9">
        <v>403750</v>
      </c>
      <c r="K62" s="9">
        <v>65000</v>
      </c>
      <c r="L62" s="9">
        <v>325000</v>
      </c>
      <c r="M62" s="9"/>
      <c r="N62" s="9"/>
      <c r="O62" s="9"/>
    </row>
    <row r="63" spans="1:15">
      <c r="A63" s="9" t="s">
        <v>170</v>
      </c>
      <c r="B63" s="9" t="s">
        <v>171</v>
      </c>
      <c r="C63" s="9" t="s">
        <v>17</v>
      </c>
      <c r="D63" s="9" t="s">
        <v>54</v>
      </c>
      <c r="E63" s="9" t="s">
        <v>19</v>
      </c>
      <c r="F63" s="9" t="s">
        <v>20</v>
      </c>
      <c r="G63" s="9">
        <v>3</v>
      </c>
      <c r="H63" s="9">
        <v>25000</v>
      </c>
      <c r="I63" s="9">
        <v>5</v>
      </c>
      <c r="J63" s="9">
        <v>71250</v>
      </c>
      <c r="K63" s="9">
        <v>18000</v>
      </c>
      <c r="L63" s="9">
        <v>54000</v>
      </c>
      <c r="M63" s="9" t="s">
        <v>28</v>
      </c>
      <c r="N63" s="9" t="s">
        <v>55</v>
      </c>
      <c r="O63" s="9" t="s">
        <v>30</v>
      </c>
    </row>
    <row r="64" spans="1:15">
      <c r="A64" s="9" t="s">
        <v>172</v>
      </c>
      <c r="B64" s="9" t="s">
        <v>173</v>
      </c>
      <c r="C64" s="9" t="s">
        <v>25</v>
      </c>
      <c r="D64" s="9" t="s">
        <v>40</v>
      </c>
      <c r="E64" s="9" t="s">
        <v>19</v>
      </c>
      <c r="F64" s="9" t="s">
        <v>85</v>
      </c>
      <c r="G64" s="9"/>
      <c r="H64" s="9">
        <v>35000</v>
      </c>
      <c r="I64" s="9">
        <v>15</v>
      </c>
      <c r="J64" s="9">
        <v>59500</v>
      </c>
      <c r="K64" s="9">
        <v>26000</v>
      </c>
      <c r="L64" s="9">
        <v>52000</v>
      </c>
      <c r="M64" s="9" t="s">
        <v>28</v>
      </c>
      <c r="N64" s="9" t="s">
        <v>21</v>
      </c>
      <c r="O64" s="9"/>
    </row>
    <row r="65" spans="1:15">
      <c r="A65" s="9" t="s">
        <v>174</v>
      </c>
      <c r="B65" s="9" t="s">
        <v>175</v>
      </c>
      <c r="C65" s="9" t="s">
        <v>17</v>
      </c>
      <c r="D65" s="9" t="s">
        <v>74</v>
      </c>
      <c r="E65" s="9" t="s">
        <v>19</v>
      </c>
      <c r="F65" s="9" t="s">
        <v>85</v>
      </c>
      <c r="G65" s="9">
        <v>13</v>
      </c>
      <c r="H65" s="9">
        <v>35000</v>
      </c>
      <c r="I65" s="9">
        <v>20</v>
      </c>
      <c r="J65" s="9">
        <v>364000</v>
      </c>
      <c r="K65" s="9">
        <v>26000</v>
      </c>
      <c r="L65" s="9">
        <v>338000</v>
      </c>
      <c r="M65" s="9" t="s">
        <v>35</v>
      </c>
      <c r="N65" s="9" t="s">
        <v>41</v>
      </c>
      <c r="O65" s="9" t="s">
        <v>30</v>
      </c>
    </row>
    <row r="66" spans="1:15">
      <c r="A66" s="9" t="s">
        <v>176</v>
      </c>
      <c r="B66" s="9" t="s">
        <v>177</v>
      </c>
      <c r="C66" s="9" t="s">
        <v>59</v>
      </c>
      <c r="D66" s="9" t="s">
        <v>74</v>
      </c>
      <c r="E66" s="9" t="s">
        <v>19</v>
      </c>
      <c r="F66" s="9" t="s">
        <v>45</v>
      </c>
      <c r="G66" s="9">
        <v>12</v>
      </c>
      <c r="H66" s="9">
        <v>85000</v>
      </c>
      <c r="I66" s="9">
        <v>10</v>
      </c>
      <c r="J66" s="9">
        <v>918000</v>
      </c>
      <c r="K66" s="9">
        <v>65000</v>
      </c>
      <c r="L66" s="9">
        <v>780000</v>
      </c>
      <c r="M66" s="9" t="s">
        <v>35</v>
      </c>
      <c r="N66" s="9" t="s">
        <v>36</v>
      </c>
      <c r="O66" s="9" t="s">
        <v>56</v>
      </c>
    </row>
    <row r="67" spans="1:15">
      <c r="A67" s="9" t="s">
        <v>178</v>
      </c>
      <c r="B67" s="9" t="s">
        <v>179</v>
      </c>
      <c r="C67" s="9" t="s">
        <v>69</v>
      </c>
      <c r="D67" s="9" t="s">
        <v>34</v>
      </c>
      <c r="E67" s="9" t="s">
        <v>19</v>
      </c>
      <c r="F67" s="9" t="s">
        <v>85</v>
      </c>
      <c r="G67" s="9">
        <v>7</v>
      </c>
      <c r="H67" s="9">
        <v>35000</v>
      </c>
      <c r="I67" s="9">
        <v>5</v>
      </c>
      <c r="J67" s="9">
        <v>232750</v>
      </c>
      <c r="K67" s="9">
        <v>26000</v>
      </c>
      <c r="L67" s="9">
        <v>182000</v>
      </c>
      <c r="M67" s="9" t="s">
        <v>35</v>
      </c>
      <c r="N67" s="9" t="s">
        <v>41</v>
      </c>
      <c r="O67" s="9" t="s">
        <v>30</v>
      </c>
    </row>
    <row r="68" spans="1:15">
      <c r="A68" s="9" t="s">
        <v>180</v>
      </c>
      <c r="B68" s="9" t="s">
        <v>181</v>
      </c>
      <c r="C68" s="9" t="s">
        <v>33</v>
      </c>
      <c r="D68" s="9" t="s">
        <v>18</v>
      </c>
      <c r="E68" s="9" t="s">
        <v>19</v>
      </c>
      <c r="F68" s="9" t="s">
        <v>27</v>
      </c>
      <c r="G68" s="9">
        <v>19</v>
      </c>
      <c r="H68" s="9">
        <v>5000</v>
      </c>
      <c r="I68" s="9">
        <v>25</v>
      </c>
      <c r="J68" s="9">
        <v>71250</v>
      </c>
      <c r="K68" s="9">
        <v>3000</v>
      </c>
      <c r="L68" s="9">
        <v>57000</v>
      </c>
      <c r="M68" s="9" t="s">
        <v>35</v>
      </c>
      <c r="N68" s="9" t="s">
        <v>55</v>
      </c>
      <c r="O68" s="9" t="s">
        <v>30</v>
      </c>
    </row>
    <row r="69" spans="1:15">
      <c r="A69" s="9" t="s">
        <v>182</v>
      </c>
      <c r="B69" s="9" t="s">
        <v>183</v>
      </c>
      <c r="C69" s="9" t="s">
        <v>49</v>
      </c>
      <c r="D69" s="9" t="s">
        <v>100</v>
      </c>
      <c r="E69" s="9" t="s">
        <v>19</v>
      </c>
      <c r="F69" s="9" t="s">
        <v>45</v>
      </c>
      <c r="G69" s="9">
        <v>6</v>
      </c>
      <c r="H69" s="9">
        <v>85000</v>
      </c>
      <c r="I69" s="9">
        <v>25</v>
      </c>
      <c r="J69" s="9">
        <v>382500</v>
      </c>
      <c r="K69" s="9">
        <v>65000</v>
      </c>
      <c r="L69" s="9">
        <v>390000</v>
      </c>
      <c r="M69" s="9" t="s">
        <v>28</v>
      </c>
      <c r="N69" s="9" t="s">
        <v>29</v>
      </c>
      <c r="O69" s="9" t="s">
        <v>30</v>
      </c>
    </row>
    <row r="70" spans="1:15">
      <c r="A70" s="9" t="s">
        <v>184</v>
      </c>
      <c r="B70" s="9" t="s">
        <v>185</v>
      </c>
      <c r="C70" s="9" t="s">
        <v>25</v>
      </c>
      <c r="D70" s="9" t="s">
        <v>100</v>
      </c>
      <c r="E70" s="9" t="s">
        <v>19</v>
      </c>
      <c r="F70" s="9" t="s">
        <v>50</v>
      </c>
      <c r="G70" s="9">
        <v>4</v>
      </c>
      <c r="H70" s="9">
        <v>15000</v>
      </c>
      <c r="I70" s="9">
        <v>10</v>
      </c>
      <c r="J70" s="9">
        <v>54000</v>
      </c>
      <c r="K70" s="9">
        <v>10000</v>
      </c>
      <c r="L70" s="9">
        <v>40000</v>
      </c>
      <c r="M70" s="9" t="s">
        <v>28</v>
      </c>
      <c r="N70" s="9" t="s">
        <v>46</v>
      </c>
      <c r="O70" s="9" t="s">
        <v>30</v>
      </c>
    </row>
    <row r="71" spans="1:15">
      <c r="A71" s="9" t="s">
        <v>186</v>
      </c>
      <c r="B71" s="9" t="s">
        <v>187</v>
      </c>
      <c r="C71" s="9" t="s">
        <v>99</v>
      </c>
      <c r="D71" s="9" t="s">
        <v>34</v>
      </c>
      <c r="E71" s="9" t="s">
        <v>19</v>
      </c>
      <c r="F71" s="9" t="s">
        <v>45</v>
      </c>
      <c r="G71" s="9">
        <v>9</v>
      </c>
      <c r="H71" s="9">
        <v>85000</v>
      </c>
      <c r="I71" s="9">
        <v>15</v>
      </c>
      <c r="J71" s="9">
        <v>650250</v>
      </c>
      <c r="K71" s="9">
        <v>65000</v>
      </c>
      <c r="L71" s="9">
        <v>585000</v>
      </c>
      <c r="M71" s="9" t="s">
        <v>35</v>
      </c>
      <c r="N71" s="9" t="s">
        <v>21</v>
      </c>
      <c r="O71" s="9" t="s">
        <v>22</v>
      </c>
    </row>
    <row r="72" spans="1:15">
      <c r="A72" s="9" t="s">
        <v>188</v>
      </c>
      <c r="B72" s="9" t="s">
        <v>189</v>
      </c>
      <c r="C72" s="9" t="s">
        <v>99</v>
      </c>
      <c r="D72" s="9" t="s">
        <v>74</v>
      </c>
      <c r="E72" s="9" t="s">
        <v>19</v>
      </c>
      <c r="F72" s="9" t="s">
        <v>75</v>
      </c>
      <c r="G72" s="9"/>
      <c r="H72" s="9">
        <v>15000</v>
      </c>
      <c r="I72" s="9"/>
      <c r="J72" s="9">
        <v>90000</v>
      </c>
      <c r="K72" s="9">
        <v>10000</v>
      </c>
      <c r="L72" s="9">
        <v>60000</v>
      </c>
      <c r="M72" s="9"/>
      <c r="N72" s="9"/>
      <c r="O72" s="9"/>
    </row>
    <row r="73" spans="1:15">
      <c r="A73" s="9" t="s">
        <v>190</v>
      </c>
      <c r="B73" s="9" t="s">
        <v>191</v>
      </c>
      <c r="C73" s="9" t="s">
        <v>17</v>
      </c>
      <c r="D73" s="9" t="s">
        <v>26</v>
      </c>
      <c r="E73" s="9" t="s">
        <v>19</v>
      </c>
      <c r="F73" s="9" t="s">
        <v>27</v>
      </c>
      <c r="G73" s="9">
        <v>2</v>
      </c>
      <c r="H73" s="9">
        <v>5000</v>
      </c>
      <c r="I73" s="9">
        <v>5</v>
      </c>
      <c r="J73" s="9">
        <v>9500</v>
      </c>
      <c r="K73" s="9">
        <v>3000</v>
      </c>
      <c r="L73" s="9">
        <v>6000</v>
      </c>
      <c r="M73" s="9" t="s">
        <v>35</v>
      </c>
      <c r="N73" s="9" t="s">
        <v>55</v>
      </c>
      <c r="O73" s="9" t="s">
        <v>22</v>
      </c>
    </row>
    <row r="74" spans="1:15">
      <c r="A74" s="9" t="s">
        <v>192</v>
      </c>
      <c r="B74" s="9" t="s">
        <v>193</v>
      </c>
      <c r="C74" s="9" t="s">
        <v>99</v>
      </c>
      <c r="D74" s="9" t="s">
        <v>18</v>
      </c>
      <c r="E74" s="9" t="s">
        <v>19</v>
      </c>
      <c r="F74" s="9" t="s">
        <v>20</v>
      </c>
      <c r="G74" s="9">
        <v>18</v>
      </c>
      <c r="H74" s="9">
        <v>25000</v>
      </c>
      <c r="I74" s="9">
        <v>5</v>
      </c>
      <c r="J74" s="9">
        <v>427500</v>
      </c>
      <c r="K74" s="9">
        <v>18000</v>
      </c>
      <c r="L74" s="9">
        <v>324000</v>
      </c>
      <c r="M74" s="9" t="s">
        <v>28</v>
      </c>
      <c r="N74" s="9" t="s">
        <v>29</v>
      </c>
      <c r="O74" s="9"/>
    </row>
    <row r="75" spans="1:15">
      <c r="A75" s="9" t="s">
        <v>194</v>
      </c>
      <c r="B75" s="9" t="s">
        <v>131</v>
      </c>
      <c r="C75" s="9" t="s">
        <v>49</v>
      </c>
      <c r="D75" s="9" t="s">
        <v>44</v>
      </c>
      <c r="E75" s="9" t="s">
        <v>19</v>
      </c>
      <c r="F75" s="9" t="s">
        <v>45</v>
      </c>
      <c r="G75" s="9"/>
      <c r="H75" s="9">
        <v>85000</v>
      </c>
      <c r="I75" s="9"/>
      <c r="J75" s="9">
        <v>510000</v>
      </c>
      <c r="K75" s="9">
        <v>65000</v>
      </c>
      <c r="L75" s="9">
        <v>520000</v>
      </c>
      <c r="M75" s="9"/>
      <c r="N75" s="9"/>
      <c r="O75" s="9"/>
    </row>
    <row r="76" spans="1:15">
      <c r="A76" s="9" t="s">
        <v>195</v>
      </c>
      <c r="B76" s="9" t="s">
        <v>196</v>
      </c>
      <c r="C76" s="9" t="s">
        <v>17</v>
      </c>
      <c r="D76" s="9" t="s">
        <v>44</v>
      </c>
      <c r="E76" s="9" t="s">
        <v>19</v>
      </c>
      <c r="F76" s="9" t="s">
        <v>20</v>
      </c>
      <c r="G76" s="9">
        <v>14</v>
      </c>
      <c r="H76" s="9">
        <v>25000</v>
      </c>
      <c r="I76" s="9">
        <v>15</v>
      </c>
      <c r="J76" s="9">
        <v>297500</v>
      </c>
      <c r="K76" s="9">
        <v>18000</v>
      </c>
      <c r="L76" s="9">
        <v>252000</v>
      </c>
      <c r="M76" s="9" t="s">
        <v>28</v>
      </c>
      <c r="N76" s="9" t="s">
        <v>29</v>
      </c>
      <c r="O76" s="9" t="s">
        <v>30</v>
      </c>
    </row>
    <row r="77" spans="1:15">
      <c r="A77" s="9" t="s">
        <v>197</v>
      </c>
      <c r="B77" s="9" t="s">
        <v>198</v>
      </c>
      <c r="C77" s="9" t="s">
        <v>59</v>
      </c>
      <c r="D77" s="9" t="s">
        <v>40</v>
      </c>
      <c r="E77" s="9" t="s">
        <v>19</v>
      </c>
      <c r="F77" s="9" t="s">
        <v>85</v>
      </c>
      <c r="G77" s="9">
        <v>14</v>
      </c>
      <c r="H77" s="9">
        <v>35000</v>
      </c>
      <c r="I77" s="9">
        <v>25</v>
      </c>
      <c r="J77" s="9">
        <v>367500</v>
      </c>
      <c r="K77" s="9">
        <v>26000</v>
      </c>
      <c r="L77" s="9">
        <v>364000</v>
      </c>
      <c r="M77" s="9" t="s">
        <v>35</v>
      </c>
      <c r="N77" s="9" t="s">
        <v>36</v>
      </c>
      <c r="O77" s="9" t="s">
        <v>30</v>
      </c>
    </row>
    <row r="78" spans="1:15">
      <c r="A78" s="9" t="s">
        <v>199</v>
      </c>
      <c r="B78" s="9" t="s">
        <v>200</v>
      </c>
      <c r="C78" s="9" t="s">
        <v>17</v>
      </c>
      <c r="D78" s="9" t="s">
        <v>54</v>
      </c>
      <c r="E78" s="9" t="s">
        <v>19</v>
      </c>
      <c r="F78" s="9" t="s">
        <v>45</v>
      </c>
      <c r="G78" s="9">
        <v>4</v>
      </c>
      <c r="H78" s="9">
        <v>85000</v>
      </c>
      <c r="I78" s="9">
        <v>15</v>
      </c>
      <c r="J78" s="9">
        <v>289000</v>
      </c>
      <c r="K78" s="9">
        <v>65000</v>
      </c>
      <c r="L78" s="9">
        <v>260000</v>
      </c>
      <c r="M78" s="9" t="s">
        <v>28</v>
      </c>
      <c r="N78" s="9" t="s">
        <v>21</v>
      </c>
      <c r="O78" s="9" t="s">
        <v>22</v>
      </c>
    </row>
    <row r="79" spans="1:15">
      <c r="A79" s="9" t="s">
        <v>201</v>
      </c>
      <c r="B79" s="9" t="s">
        <v>202</v>
      </c>
      <c r="C79" s="9" t="s">
        <v>66</v>
      </c>
      <c r="D79" s="9" t="s">
        <v>34</v>
      </c>
      <c r="E79" s="9" t="s">
        <v>19</v>
      </c>
      <c r="F79" s="9" t="s">
        <v>20</v>
      </c>
      <c r="G79" s="9"/>
      <c r="H79" s="9">
        <v>25000</v>
      </c>
      <c r="I79" s="9"/>
      <c r="J79" s="9">
        <v>168750</v>
      </c>
      <c r="K79" s="9">
        <v>18000</v>
      </c>
      <c r="L79" s="9">
        <v>162000</v>
      </c>
      <c r="M79" s="9"/>
      <c r="N79" s="9"/>
      <c r="O79" s="9"/>
    </row>
    <row r="80" spans="1:15">
      <c r="A80" s="9" t="s">
        <v>203</v>
      </c>
      <c r="B80" s="9" t="s">
        <v>204</v>
      </c>
      <c r="C80" s="9" t="s">
        <v>66</v>
      </c>
      <c r="D80" s="9" t="s">
        <v>18</v>
      </c>
      <c r="E80" s="9" t="s">
        <v>19</v>
      </c>
      <c r="F80" s="9" t="s">
        <v>50</v>
      </c>
      <c r="G80" s="9">
        <v>18</v>
      </c>
      <c r="H80" s="9">
        <v>15000</v>
      </c>
      <c r="I80" s="9">
        <v>0</v>
      </c>
      <c r="J80" s="9">
        <v>270000</v>
      </c>
      <c r="K80" s="9">
        <v>10000</v>
      </c>
      <c r="L80" s="9">
        <v>180000</v>
      </c>
      <c r="M80" s="9" t="s">
        <v>35</v>
      </c>
      <c r="N80" s="9" t="s">
        <v>21</v>
      </c>
      <c r="O80" s="9" t="s">
        <v>81</v>
      </c>
    </row>
    <row r="81" spans="1:15">
      <c r="A81" s="9" t="s">
        <v>205</v>
      </c>
      <c r="B81" s="9" t="s">
        <v>206</v>
      </c>
      <c r="C81" s="9" t="s">
        <v>53</v>
      </c>
      <c r="D81" s="9" t="s">
        <v>74</v>
      </c>
      <c r="E81" s="9" t="s">
        <v>19</v>
      </c>
      <c r="F81" s="9" t="s">
        <v>20</v>
      </c>
      <c r="G81" s="9">
        <v>6</v>
      </c>
      <c r="H81" s="9">
        <v>25000</v>
      </c>
      <c r="I81" s="9">
        <v>15</v>
      </c>
      <c r="J81" s="9">
        <v>127500</v>
      </c>
      <c r="K81" s="9">
        <v>18000</v>
      </c>
      <c r="L81" s="9">
        <v>108000</v>
      </c>
      <c r="M81" s="9" t="s">
        <v>35</v>
      </c>
      <c r="N81" s="9" t="s">
        <v>36</v>
      </c>
      <c r="O81" s="9" t="s">
        <v>22</v>
      </c>
    </row>
    <row r="82" spans="1:15">
      <c r="A82" s="9" t="s">
        <v>207</v>
      </c>
      <c r="B82" s="9" t="s">
        <v>208</v>
      </c>
      <c r="C82" s="9" t="s">
        <v>59</v>
      </c>
      <c r="D82" s="9" t="s">
        <v>34</v>
      </c>
      <c r="E82" s="9" t="s">
        <v>19</v>
      </c>
      <c r="F82" s="9" t="s">
        <v>50</v>
      </c>
      <c r="G82" s="9">
        <v>2</v>
      </c>
      <c r="H82" s="9">
        <v>15000</v>
      </c>
      <c r="I82" s="9">
        <v>20</v>
      </c>
      <c r="J82" s="9">
        <v>24000</v>
      </c>
      <c r="K82" s="9">
        <v>10000</v>
      </c>
      <c r="L82" s="9">
        <v>20000</v>
      </c>
      <c r="M82" s="9" t="s">
        <v>28</v>
      </c>
      <c r="N82" s="9" t="s">
        <v>21</v>
      </c>
      <c r="O82" s="9" t="s">
        <v>30</v>
      </c>
    </row>
    <row r="83" spans="1:15">
      <c r="A83" s="9" t="s">
        <v>209</v>
      </c>
      <c r="B83" s="9" t="s">
        <v>120</v>
      </c>
      <c r="C83" s="9" t="s">
        <v>33</v>
      </c>
      <c r="D83" s="9" t="s">
        <v>18</v>
      </c>
      <c r="E83" s="9" t="s">
        <v>19</v>
      </c>
      <c r="F83" s="9" t="s">
        <v>85</v>
      </c>
      <c r="G83" s="9">
        <v>8</v>
      </c>
      <c r="H83" s="9">
        <v>35000</v>
      </c>
      <c r="I83" s="9">
        <v>5</v>
      </c>
      <c r="J83" s="9">
        <v>266000</v>
      </c>
      <c r="K83" s="9">
        <v>26000</v>
      </c>
      <c r="L83" s="9">
        <v>208000</v>
      </c>
      <c r="M83" s="9" t="s">
        <v>28</v>
      </c>
      <c r="N83" s="9" t="s">
        <v>41</v>
      </c>
      <c r="O83" s="9" t="s">
        <v>30</v>
      </c>
    </row>
    <row r="84" spans="1:15">
      <c r="A84" s="9" t="s">
        <v>210</v>
      </c>
      <c r="B84" s="9" t="s">
        <v>211</v>
      </c>
      <c r="C84" s="9" t="s">
        <v>25</v>
      </c>
      <c r="D84" s="9" t="s">
        <v>40</v>
      </c>
      <c r="E84" s="9" t="s">
        <v>19</v>
      </c>
      <c r="F84" s="9" t="s">
        <v>75</v>
      </c>
      <c r="G84" s="9">
        <v>13</v>
      </c>
      <c r="H84" s="9">
        <v>35000</v>
      </c>
      <c r="I84" s="9">
        <v>0</v>
      </c>
      <c r="J84" s="9">
        <v>455000</v>
      </c>
      <c r="K84" s="9">
        <v>26000</v>
      </c>
      <c r="L84" s="9">
        <v>338000</v>
      </c>
      <c r="M84" s="9" t="s">
        <v>28</v>
      </c>
      <c r="N84" s="9" t="s">
        <v>41</v>
      </c>
      <c r="O84" s="9" t="s">
        <v>30</v>
      </c>
    </row>
    <row r="85" spans="1:15">
      <c r="A85" s="9" t="s">
        <v>212</v>
      </c>
      <c r="B85" s="9" t="s">
        <v>213</v>
      </c>
      <c r="C85" s="9" t="s">
        <v>69</v>
      </c>
      <c r="D85" s="9" t="s">
        <v>100</v>
      </c>
      <c r="E85" s="9" t="s">
        <v>19</v>
      </c>
      <c r="F85" s="9" t="s">
        <v>45</v>
      </c>
      <c r="G85" s="9">
        <v>18</v>
      </c>
      <c r="H85" s="9">
        <v>85000</v>
      </c>
      <c r="I85" s="9">
        <v>20</v>
      </c>
      <c r="J85" s="9">
        <v>1224000</v>
      </c>
      <c r="K85" s="9">
        <v>65000</v>
      </c>
      <c r="L85" s="9">
        <v>1170000</v>
      </c>
      <c r="M85" s="9" t="s">
        <v>35</v>
      </c>
      <c r="N85" s="9" t="s">
        <v>36</v>
      </c>
      <c r="O85" s="9"/>
    </row>
    <row r="86" spans="1:15">
      <c r="A86" s="9" t="s">
        <v>214</v>
      </c>
      <c r="B86" s="9" t="s">
        <v>215</v>
      </c>
      <c r="C86" s="9" t="s">
        <v>49</v>
      </c>
      <c r="D86" s="9" t="s">
        <v>216</v>
      </c>
      <c r="E86" s="9" t="s">
        <v>19</v>
      </c>
      <c r="F86" s="9" t="s">
        <v>45</v>
      </c>
      <c r="G86" s="9">
        <v>18</v>
      </c>
      <c r="H86" s="9">
        <v>85000</v>
      </c>
      <c r="I86" s="9">
        <v>25</v>
      </c>
      <c r="J86" s="9">
        <v>1147500</v>
      </c>
      <c r="K86" s="9">
        <v>65000</v>
      </c>
      <c r="L86" s="9">
        <v>1170000</v>
      </c>
      <c r="M86" s="9" t="s">
        <v>28</v>
      </c>
      <c r="N86" s="9" t="s">
        <v>36</v>
      </c>
      <c r="O86" s="9" t="s">
        <v>56</v>
      </c>
    </row>
    <row r="87" spans="1:15">
      <c r="A87" s="9" t="s">
        <v>217</v>
      </c>
      <c r="B87" s="9" t="s">
        <v>218</v>
      </c>
      <c r="C87" s="9" t="s">
        <v>66</v>
      </c>
      <c r="D87" s="9" t="s">
        <v>18</v>
      </c>
      <c r="E87" s="9" t="s">
        <v>19</v>
      </c>
      <c r="F87" s="9" t="s">
        <v>27</v>
      </c>
      <c r="G87" s="9">
        <v>6</v>
      </c>
      <c r="H87" s="9">
        <v>5000</v>
      </c>
      <c r="I87" s="9">
        <v>20</v>
      </c>
      <c r="J87" s="9">
        <v>24000</v>
      </c>
      <c r="K87" s="9">
        <v>3000</v>
      </c>
      <c r="L87" s="9">
        <v>18000</v>
      </c>
      <c r="M87" s="9" t="s">
        <v>35</v>
      </c>
      <c r="N87" s="9" t="s">
        <v>55</v>
      </c>
      <c r="O87" s="9" t="s">
        <v>22</v>
      </c>
    </row>
    <row r="88" spans="1:15">
      <c r="A88" s="9" t="s">
        <v>219</v>
      </c>
      <c r="B88" s="9" t="s">
        <v>220</v>
      </c>
      <c r="C88" s="9" t="s">
        <v>39</v>
      </c>
      <c r="D88" s="9" t="s">
        <v>221</v>
      </c>
      <c r="E88" s="9" t="s">
        <v>19</v>
      </c>
      <c r="F88" s="9" t="s">
        <v>45</v>
      </c>
      <c r="G88" s="9">
        <v>15</v>
      </c>
      <c r="H88" s="9">
        <v>85000</v>
      </c>
      <c r="I88" s="9">
        <v>20</v>
      </c>
      <c r="J88" s="9">
        <v>1020000</v>
      </c>
      <c r="K88" s="9">
        <v>65000</v>
      </c>
      <c r="L88" s="9">
        <v>975000</v>
      </c>
      <c r="M88" s="9" t="s">
        <v>28</v>
      </c>
      <c r="N88" s="9" t="s">
        <v>46</v>
      </c>
      <c r="O88" s="9" t="s">
        <v>30</v>
      </c>
    </row>
    <row r="89" spans="1:15">
      <c r="A89" s="9" t="s">
        <v>222</v>
      </c>
      <c r="B89" s="9" t="s">
        <v>223</v>
      </c>
      <c r="C89" s="9" t="s">
        <v>53</v>
      </c>
      <c r="D89" s="9" t="s">
        <v>54</v>
      </c>
      <c r="E89" s="9" t="s">
        <v>19</v>
      </c>
      <c r="F89" s="9" t="s">
        <v>50</v>
      </c>
      <c r="G89" s="9">
        <v>17</v>
      </c>
      <c r="H89" s="9">
        <v>15000</v>
      </c>
      <c r="I89" s="9">
        <v>20</v>
      </c>
      <c r="J89" s="9">
        <v>204000</v>
      </c>
      <c r="K89" s="9">
        <v>10000</v>
      </c>
      <c r="L89" s="9">
        <v>170000</v>
      </c>
      <c r="M89" s="9" t="s">
        <v>35</v>
      </c>
      <c r="N89" s="9" t="s">
        <v>21</v>
      </c>
      <c r="O89" s="9" t="s">
        <v>30</v>
      </c>
    </row>
    <row r="90" spans="1:15">
      <c r="A90" s="9" t="s">
        <v>224</v>
      </c>
      <c r="B90" s="9" t="s">
        <v>225</v>
      </c>
      <c r="C90" s="9" t="s">
        <v>69</v>
      </c>
      <c r="D90" s="9" t="s">
        <v>40</v>
      </c>
      <c r="E90" s="9" t="s">
        <v>19</v>
      </c>
      <c r="F90" s="9" t="s">
        <v>45</v>
      </c>
      <c r="G90" s="9">
        <v>3</v>
      </c>
      <c r="H90" s="9">
        <v>85000</v>
      </c>
      <c r="I90" s="9">
        <v>10</v>
      </c>
      <c r="J90" s="9">
        <v>229500</v>
      </c>
      <c r="K90" s="9">
        <v>65000</v>
      </c>
      <c r="L90" s="9">
        <v>195000</v>
      </c>
      <c r="M90" s="9"/>
      <c r="N90" s="9" t="s">
        <v>41</v>
      </c>
      <c r="O90" s="9" t="s">
        <v>22</v>
      </c>
    </row>
    <row r="91" spans="1:15">
      <c r="A91" s="9" t="s">
        <v>139</v>
      </c>
      <c r="B91" s="9" t="s">
        <v>140</v>
      </c>
      <c r="C91" s="9" t="s">
        <v>49</v>
      </c>
      <c r="D91" s="9" t="s">
        <v>40</v>
      </c>
      <c r="E91" s="9" t="s">
        <v>19</v>
      </c>
      <c r="F91" s="9" t="s">
        <v>20</v>
      </c>
      <c r="G91" s="9">
        <v>20</v>
      </c>
      <c r="H91" s="9">
        <v>25000</v>
      </c>
      <c r="I91" s="9">
        <v>0</v>
      </c>
      <c r="J91" s="9">
        <v>500000</v>
      </c>
      <c r="K91" s="9">
        <v>18000</v>
      </c>
      <c r="L91" s="9">
        <v>360000</v>
      </c>
      <c r="M91" s="9" t="s">
        <v>28</v>
      </c>
      <c r="N91" s="9" t="s">
        <v>21</v>
      </c>
      <c r="O91" s="9" t="s">
        <v>22</v>
      </c>
    </row>
    <row r="92" spans="1:15">
      <c r="A92" s="9" t="s">
        <v>121</v>
      </c>
      <c r="B92" s="9" t="s">
        <v>92</v>
      </c>
      <c r="C92" s="9" t="s">
        <v>33</v>
      </c>
      <c r="D92" s="9" t="s">
        <v>26</v>
      </c>
      <c r="E92" s="9" t="s">
        <v>19</v>
      </c>
      <c r="F92" s="9" t="s">
        <v>27</v>
      </c>
      <c r="G92" s="9">
        <v>3</v>
      </c>
      <c r="H92" s="9">
        <v>5000</v>
      </c>
      <c r="I92" s="9">
        <v>15</v>
      </c>
      <c r="J92" s="9">
        <v>12750</v>
      </c>
      <c r="K92" s="9">
        <v>3000</v>
      </c>
      <c r="L92" s="9">
        <v>9000</v>
      </c>
      <c r="M92" s="9" t="s">
        <v>35</v>
      </c>
      <c r="N92" s="9" t="s">
        <v>21</v>
      </c>
      <c r="O92" s="9" t="s">
        <v>30</v>
      </c>
    </row>
    <row r="93" spans="1:15">
      <c r="A93" s="9" t="s">
        <v>103</v>
      </c>
      <c r="B93" s="9" t="s">
        <v>104</v>
      </c>
      <c r="C93" s="9" t="s">
        <v>25</v>
      </c>
      <c r="D93" s="9" t="s">
        <v>18</v>
      </c>
      <c r="E93" s="9" t="s">
        <v>19</v>
      </c>
      <c r="F93" s="9" t="s">
        <v>45</v>
      </c>
      <c r="G93" s="9">
        <v>1</v>
      </c>
      <c r="H93" s="9">
        <v>85000</v>
      </c>
      <c r="I93" s="9">
        <v>0</v>
      </c>
      <c r="J93" s="9">
        <v>85000</v>
      </c>
      <c r="K93" s="9">
        <v>65000</v>
      </c>
      <c r="L93" s="9">
        <v>65000</v>
      </c>
      <c r="M93" s="9" t="s">
        <v>35</v>
      </c>
      <c r="N93" s="9" t="s">
        <v>46</v>
      </c>
      <c r="O93" s="9" t="s">
        <v>30</v>
      </c>
    </row>
    <row r="94" spans="1:15">
      <c r="A94" s="9" t="s">
        <v>101</v>
      </c>
      <c r="B94" s="9" t="s">
        <v>102</v>
      </c>
      <c r="C94" s="9" t="s">
        <v>17</v>
      </c>
      <c r="D94" s="9" t="s">
        <v>18</v>
      </c>
      <c r="E94" s="9" t="s">
        <v>19</v>
      </c>
      <c r="F94" s="9" t="s">
        <v>85</v>
      </c>
      <c r="G94" s="9">
        <v>5</v>
      </c>
      <c r="H94" s="9">
        <v>35000</v>
      </c>
      <c r="I94" s="9">
        <v>20</v>
      </c>
      <c r="J94" s="9">
        <v>140000</v>
      </c>
      <c r="K94" s="9">
        <v>26000</v>
      </c>
      <c r="L94" s="9">
        <v>130000</v>
      </c>
      <c r="M94" s="9" t="s">
        <v>35</v>
      </c>
      <c r="N94" s="9"/>
      <c r="O94" s="9" t="s">
        <v>81</v>
      </c>
    </row>
    <row r="95" spans="1:15">
      <c r="A95" s="9" t="s">
        <v>195</v>
      </c>
      <c r="B95" s="9" t="s">
        <v>196</v>
      </c>
      <c r="C95" s="9" t="s">
        <v>17</v>
      </c>
      <c r="D95" s="9" t="s">
        <v>44</v>
      </c>
      <c r="E95" s="9" t="s">
        <v>19</v>
      </c>
      <c r="F95" s="9" t="s">
        <v>20</v>
      </c>
      <c r="G95" s="9">
        <v>14</v>
      </c>
      <c r="H95" s="9">
        <v>25000</v>
      </c>
      <c r="I95" s="9">
        <v>15</v>
      </c>
      <c r="J95" s="9">
        <v>297500</v>
      </c>
      <c r="K95" s="9">
        <v>18000</v>
      </c>
      <c r="L95" s="9">
        <v>252000</v>
      </c>
      <c r="M95" s="9" t="s">
        <v>28</v>
      </c>
      <c r="N95" s="9" t="s">
        <v>29</v>
      </c>
      <c r="O95" s="9" t="s">
        <v>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0"/>
  <sheetViews>
    <sheetView zoomScale="72" zoomScaleNormal="72" workbookViewId="0">
      <selection activeCell="N2" sqref="N2"/>
    </sheetView>
  </sheetViews>
  <sheetFormatPr defaultColWidth="8.7265625" defaultRowHeight="14.5"/>
  <cols>
    <col min="3" max="3" width="11.6328125" customWidth="1"/>
    <col min="5" max="5" width="12.453125" customWidth="1"/>
    <col min="6" max="6" width="14.08984375" customWidth="1"/>
    <col min="10" max="10" width="20.81640625" customWidth="1"/>
    <col min="12" max="12" width="8.54296875" customWidth="1"/>
    <col min="13" max="13" width="12.36328125" customWidth="1"/>
    <col min="14" max="14" width="12.6328125" style="5" customWidth="1"/>
  </cols>
  <sheetData>
    <row r="1" spans="1:18">
      <c r="A1" t="s">
        <v>0</v>
      </c>
      <c r="B1" t="s">
        <v>1</v>
      </c>
      <c r="C1" t="s">
        <v>2</v>
      </c>
      <c r="D1" t="s">
        <v>3</v>
      </c>
      <c r="E1" t="s">
        <v>4</v>
      </c>
      <c r="F1" t="s">
        <v>5</v>
      </c>
      <c r="G1" t="s">
        <v>6</v>
      </c>
      <c r="H1" t="s">
        <v>7</v>
      </c>
      <c r="I1" t="s">
        <v>8</v>
      </c>
      <c r="J1" t="s">
        <v>9</v>
      </c>
      <c r="K1" t="s">
        <v>10</v>
      </c>
      <c r="L1" t="s">
        <v>11</v>
      </c>
      <c r="M1" t="s">
        <v>226</v>
      </c>
      <c r="N1" s="5" t="s">
        <v>248</v>
      </c>
      <c r="O1" t="s">
        <v>12</v>
      </c>
      <c r="P1" t="s">
        <v>13</v>
      </c>
      <c r="Q1" t="s">
        <v>14</v>
      </c>
      <c r="R1" t="s">
        <v>227</v>
      </c>
    </row>
    <row r="2" spans="1:18">
      <c r="A2" t="s">
        <v>15</v>
      </c>
      <c r="B2" s="6" t="s">
        <v>16</v>
      </c>
      <c r="C2" t="s">
        <v>17</v>
      </c>
      <c r="D2" t="s">
        <v>18</v>
      </c>
      <c r="E2" t="s">
        <v>19</v>
      </c>
      <c r="F2" t="s">
        <v>20</v>
      </c>
      <c r="G2">
        <v>3</v>
      </c>
      <c r="H2">
        <v>25000</v>
      </c>
      <c r="I2">
        <v>5</v>
      </c>
      <c r="J2">
        <v>71250</v>
      </c>
      <c r="K2">
        <v>18000</v>
      </c>
      <c r="L2">
        <v>54000</v>
      </c>
      <c r="M2">
        <v>17250</v>
      </c>
      <c r="N2" s="5">
        <f t="shared" ref="N2:N33" si="0">M2/J2</f>
        <v>0.24210526315789499</v>
      </c>
      <c r="O2" t="s">
        <v>35</v>
      </c>
      <c r="P2" t="s">
        <v>21</v>
      </c>
      <c r="Q2" t="s">
        <v>22</v>
      </c>
      <c r="R2" s="7" t="str">
        <f t="shared" ref="R2:R33" si="1">TEXT(B2,"MMM")</f>
        <v>Oct</v>
      </c>
    </row>
    <row r="3" spans="1:18">
      <c r="A3" t="s">
        <v>23</v>
      </c>
      <c r="B3" s="6" t="s">
        <v>24</v>
      </c>
      <c r="C3" t="s">
        <v>25</v>
      </c>
      <c r="D3" t="s">
        <v>26</v>
      </c>
      <c r="E3" t="s">
        <v>19</v>
      </c>
      <c r="F3" t="s">
        <v>27</v>
      </c>
      <c r="G3">
        <v>18</v>
      </c>
      <c r="H3">
        <v>5000</v>
      </c>
      <c r="I3">
        <v>0</v>
      </c>
      <c r="J3">
        <v>90000</v>
      </c>
      <c r="K3">
        <v>3000</v>
      </c>
      <c r="L3">
        <v>54000</v>
      </c>
      <c r="M3">
        <v>36000</v>
      </c>
      <c r="N3" s="5">
        <f t="shared" si="0"/>
        <v>0.4</v>
      </c>
      <c r="O3" t="s">
        <v>28</v>
      </c>
      <c r="P3" t="s">
        <v>29</v>
      </c>
      <c r="Q3" t="s">
        <v>30</v>
      </c>
      <c r="R3" s="7" t="str">
        <f t="shared" si="1"/>
        <v>Jun</v>
      </c>
    </row>
    <row r="4" spans="1:18">
      <c r="A4" t="s">
        <v>31</v>
      </c>
      <c r="B4" s="6" t="s">
        <v>32</v>
      </c>
      <c r="C4" t="s">
        <v>33</v>
      </c>
      <c r="D4" t="s">
        <v>34</v>
      </c>
      <c r="E4" t="s">
        <v>19</v>
      </c>
      <c r="F4" t="s">
        <v>20</v>
      </c>
      <c r="G4">
        <v>4</v>
      </c>
      <c r="H4">
        <v>25000</v>
      </c>
      <c r="I4">
        <v>5</v>
      </c>
      <c r="J4">
        <v>95000</v>
      </c>
      <c r="K4">
        <v>18000</v>
      </c>
      <c r="L4">
        <v>72000</v>
      </c>
      <c r="M4">
        <v>23000</v>
      </c>
      <c r="N4" s="5">
        <f t="shared" si="0"/>
        <v>0.24210526315789499</v>
      </c>
      <c r="O4" t="s">
        <v>35</v>
      </c>
      <c r="P4" t="s">
        <v>36</v>
      </c>
      <c r="Q4" t="s">
        <v>30</v>
      </c>
      <c r="R4" s="7" t="str">
        <f t="shared" si="1"/>
        <v>Mar</v>
      </c>
    </row>
    <row r="5" spans="1:18">
      <c r="A5" t="s">
        <v>37</v>
      </c>
      <c r="B5" s="6" t="s">
        <v>38</v>
      </c>
      <c r="C5" t="s">
        <v>39</v>
      </c>
      <c r="D5" t="s">
        <v>40</v>
      </c>
      <c r="E5" t="s">
        <v>19</v>
      </c>
      <c r="F5" t="s">
        <v>20</v>
      </c>
      <c r="G5">
        <v>11</v>
      </c>
      <c r="H5">
        <v>25000</v>
      </c>
      <c r="I5">
        <v>0</v>
      </c>
      <c r="J5">
        <v>275000</v>
      </c>
      <c r="K5">
        <v>18000</v>
      </c>
      <c r="L5">
        <v>198000</v>
      </c>
      <c r="M5">
        <v>77000</v>
      </c>
      <c r="N5" s="5">
        <f>M5/J5</f>
        <v>0.28000000000000003</v>
      </c>
      <c r="O5" t="s">
        <v>35</v>
      </c>
      <c r="P5" t="s">
        <v>41</v>
      </c>
      <c r="Q5" t="s">
        <v>22</v>
      </c>
      <c r="R5" s="7" t="str">
        <f t="shared" si="1"/>
        <v>Nov</v>
      </c>
    </row>
    <row r="6" spans="1:18">
      <c r="A6" t="s">
        <v>42</v>
      </c>
      <c r="B6" s="6" t="s">
        <v>43</v>
      </c>
      <c r="C6" t="s">
        <v>33</v>
      </c>
      <c r="D6" t="s">
        <v>44</v>
      </c>
      <c r="E6" t="s">
        <v>19</v>
      </c>
      <c r="F6" t="s">
        <v>45</v>
      </c>
      <c r="G6">
        <v>6</v>
      </c>
      <c r="H6">
        <v>85000</v>
      </c>
      <c r="I6">
        <v>15</v>
      </c>
      <c r="J6">
        <v>433500</v>
      </c>
      <c r="K6">
        <v>65000</v>
      </c>
      <c r="L6">
        <v>390000</v>
      </c>
      <c r="M6">
        <v>43500</v>
      </c>
      <c r="N6" s="5">
        <f t="shared" si="0"/>
        <v>0.100346020761246</v>
      </c>
      <c r="O6" t="s">
        <v>28</v>
      </c>
      <c r="P6" t="s">
        <v>46</v>
      </c>
      <c r="Q6" t="s">
        <v>30</v>
      </c>
      <c r="R6" s="7" t="str">
        <f t="shared" si="1"/>
        <v>Nov</v>
      </c>
    </row>
    <row r="7" spans="1:18">
      <c r="A7" t="s">
        <v>47</v>
      </c>
      <c r="B7" s="6" t="s">
        <v>48</v>
      </c>
      <c r="C7" t="s">
        <v>49</v>
      </c>
      <c r="D7" t="s">
        <v>18</v>
      </c>
      <c r="E7" t="s">
        <v>19</v>
      </c>
      <c r="F7" t="s">
        <v>50</v>
      </c>
      <c r="G7">
        <v>8</v>
      </c>
      <c r="H7">
        <v>15000</v>
      </c>
      <c r="I7">
        <v>20</v>
      </c>
      <c r="J7">
        <v>96000</v>
      </c>
      <c r="K7">
        <v>10000</v>
      </c>
      <c r="L7">
        <v>80000</v>
      </c>
      <c r="M7">
        <v>16000</v>
      </c>
      <c r="N7" s="5">
        <f t="shared" si="0"/>
        <v>0.16666666666666699</v>
      </c>
      <c r="O7" t="s">
        <v>35</v>
      </c>
      <c r="P7" t="s">
        <v>21</v>
      </c>
      <c r="Q7" t="s">
        <v>30</v>
      </c>
      <c r="R7" s="7" t="str">
        <f t="shared" si="1"/>
        <v>Feb</v>
      </c>
    </row>
    <row r="8" spans="1:18">
      <c r="A8" t="s">
        <v>51</v>
      </c>
      <c r="B8" s="6" t="s">
        <v>52</v>
      </c>
      <c r="C8" t="s">
        <v>53</v>
      </c>
      <c r="D8" t="s">
        <v>80</v>
      </c>
      <c r="E8" t="s">
        <v>19</v>
      </c>
      <c r="F8" t="s">
        <v>27</v>
      </c>
      <c r="G8">
        <v>2</v>
      </c>
      <c r="H8">
        <v>5000</v>
      </c>
      <c r="I8">
        <v>15</v>
      </c>
      <c r="J8">
        <v>8500</v>
      </c>
      <c r="K8">
        <v>3000</v>
      </c>
      <c r="L8">
        <v>6000</v>
      </c>
      <c r="M8">
        <v>2500</v>
      </c>
      <c r="N8" s="5">
        <f t="shared" si="0"/>
        <v>0.29411764705882398</v>
      </c>
      <c r="O8" t="s">
        <v>35</v>
      </c>
      <c r="P8" t="s">
        <v>55</v>
      </c>
      <c r="Q8" t="s">
        <v>56</v>
      </c>
      <c r="R8" s="7" t="str">
        <f t="shared" si="1"/>
        <v>May</v>
      </c>
    </row>
    <row r="9" spans="1:18">
      <c r="A9" t="s">
        <v>57</v>
      </c>
      <c r="B9" s="6" t="s">
        <v>58</v>
      </c>
      <c r="C9" t="s">
        <v>59</v>
      </c>
      <c r="D9" t="s">
        <v>26</v>
      </c>
      <c r="E9" t="s">
        <v>19</v>
      </c>
      <c r="F9" t="s">
        <v>20</v>
      </c>
      <c r="G9">
        <v>20</v>
      </c>
      <c r="H9">
        <v>25000</v>
      </c>
      <c r="I9">
        <v>15</v>
      </c>
      <c r="J9">
        <v>425000</v>
      </c>
      <c r="K9">
        <v>18000</v>
      </c>
      <c r="L9">
        <v>360000</v>
      </c>
      <c r="M9">
        <v>65000</v>
      </c>
      <c r="N9" s="5">
        <f t="shared" si="0"/>
        <v>0.152941176470588</v>
      </c>
      <c r="O9" t="s">
        <v>28</v>
      </c>
      <c r="P9" t="s">
        <v>36</v>
      </c>
      <c r="Q9" t="s">
        <v>56</v>
      </c>
      <c r="R9" s="7" t="str">
        <f t="shared" si="1"/>
        <v>May</v>
      </c>
    </row>
    <row r="10" spans="1:18">
      <c r="A10" t="s">
        <v>60</v>
      </c>
      <c r="B10" s="6" t="s">
        <v>61</v>
      </c>
      <c r="C10" t="s">
        <v>59</v>
      </c>
      <c r="D10" t="s">
        <v>44</v>
      </c>
      <c r="E10" t="s">
        <v>19</v>
      </c>
      <c r="F10" t="s">
        <v>45</v>
      </c>
      <c r="G10">
        <v>16</v>
      </c>
      <c r="H10">
        <v>85000</v>
      </c>
      <c r="I10">
        <v>20</v>
      </c>
      <c r="J10">
        <v>1088000</v>
      </c>
      <c r="K10">
        <v>65000</v>
      </c>
      <c r="L10">
        <v>1040000</v>
      </c>
      <c r="M10">
        <v>48000</v>
      </c>
      <c r="N10" s="5">
        <f t="shared" si="0"/>
        <v>4.4117647058823498E-2</v>
      </c>
      <c r="O10" t="s">
        <v>35</v>
      </c>
      <c r="P10" t="s">
        <v>46</v>
      </c>
      <c r="Q10" t="s">
        <v>30</v>
      </c>
      <c r="R10" s="7" t="str">
        <f t="shared" si="1"/>
        <v>Apr</v>
      </c>
    </row>
    <row r="11" spans="1:18">
      <c r="A11" t="s">
        <v>62</v>
      </c>
      <c r="B11" s="6" t="s">
        <v>63</v>
      </c>
      <c r="C11" t="s">
        <v>59</v>
      </c>
      <c r="D11" t="s">
        <v>40</v>
      </c>
      <c r="E11" t="s">
        <v>19</v>
      </c>
      <c r="F11" t="s">
        <v>27</v>
      </c>
      <c r="G11">
        <v>14</v>
      </c>
      <c r="H11">
        <v>5000</v>
      </c>
      <c r="I11">
        <v>10</v>
      </c>
      <c r="J11">
        <v>63000</v>
      </c>
      <c r="K11">
        <v>3000</v>
      </c>
      <c r="L11">
        <v>42000</v>
      </c>
      <c r="M11">
        <v>21000</v>
      </c>
      <c r="N11" s="5">
        <f t="shared" si="0"/>
        <v>0.33333333333333298</v>
      </c>
      <c r="O11" t="s">
        <v>28</v>
      </c>
      <c r="P11" t="s">
        <v>46</v>
      </c>
      <c r="Q11" t="s">
        <v>30</v>
      </c>
      <c r="R11" s="7" t="str">
        <f t="shared" si="1"/>
        <v>Dec</v>
      </c>
    </row>
    <row r="12" spans="1:18">
      <c r="A12" t="s">
        <v>64</v>
      </c>
      <c r="B12" s="6" t="s">
        <v>65</v>
      </c>
      <c r="C12" t="s">
        <v>66</v>
      </c>
      <c r="D12" t="s">
        <v>40</v>
      </c>
      <c r="E12" t="s">
        <v>19</v>
      </c>
      <c r="F12" t="s">
        <v>50</v>
      </c>
      <c r="G12">
        <v>8</v>
      </c>
      <c r="H12">
        <v>15000</v>
      </c>
      <c r="I12">
        <v>0</v>
      </c>
      <c r="J12">
        <v>120000</v>
      </c>
      <c r="K12">
        <v>10000</v>
      </c>
      <c r="L12">
        <v>80000</v>
      </c>
      <c r="M12">
        <v>40000</v>
      </c>
      <c r="N12" s="5">
        <f t="shared" si="0"/>
        <v>0.33333333333333298</v>
      </c>
      <c r="O12" t="s">
        <v>28</v>
      </c>
      <c r="P12" t="s">
        <v>36</v>
      </c>
      <c r="Q12" t="s">
        <v>22</v>
      </c>
      <c r="R12" s="7" t="str">
        <f t="shared" si="1"/>
        <v>Jul</v>
      </c>
    </row>
    <row r="13" spans="1:18">
      <c r="A13" t="s">
        <v>67</v>
      </c>
      <c r="B13" s="6" t="s">
        <v>68</v>
      </c>
      <c r="C13" t="s">
        <v>69</v>
      </c>
      <c r="D13" t="s">
        <v>26</v>
      </c>
      <c r="E13" t="s">
        <v>19</v>
      </c>
      <c r="F13" t="s">
        <v>20</v>
      </c>
      <c r="G13">
        <v>8</v>
      </c>
      <c r="H13">
        <v>25000</v>
      </c>
      <c r="I13">
        <v>25</v>
      </c>
      <c r="J13">
        <v>150000</v>
      </c>
      <c r="K13">
        <v>18000</v>
      </c>
      <c r="L13">
        <v>144000</v>
      </c>
      <c r="M13">
        <v>6000</v>
      </c>
      <c r="N13" s="5">
        <f t="shared" si="0"/>
        <v>0.04</v>
      </c>
      <c r="O13" t="s">
        <v>35</v>
      </c>
      <c r="P13" t="s">
        <v>36</v>
      </c>
      <c r="Q13" t="s">
        <v>56</v>
      </c>
      <c r="R13" s="7" t="str">
        <f t="shared" si="1"/>
        <v>Aug</v>
      </c>
    </row>
    <row r="14" spans="1:18">
      <c r="A14" t="s">
        <v>70</v>
      </c>
      <c r="B14" s="6" t="s">
        <v>71</v>
      </c>
      <c r="C14" t="s">
        <v>17</v>
      </c>
      <c r="D14" t="s">
        <v>34</v>
      </c>
      <c r="E14" t="s">
        <v>19</v>
      </c>
      <c r="F14" t="s">
        <v>45</v>
      </c>
      <c r="G14">
        <v>16</v>
      </c>
      <c r="H14">
        <v>85000</v>
      </c>
      <c r="I14">
        <v>25</v>
      </c>
      <c r="J14">
        <v>1020000</v>
      </c>
      <c r="K14">
        <v>65000</v>
      </c>
      <c r="L14">
        <v>1040000</v>
      </c>
      <c r="M14">
        <v>-20000</v>
      </c>
      <c r="N14" s="5">
        <f t="shared" si="0"/>
        <v>-1.9607843137254902E-2</v>
      </c>
      <c r="O14" t="s">
        <v>28</v>
      </c>
      <c r="P14" t="s">
        <v>21</v>
      </c>
      <c r="Q14" t="s">
        <v>22</v>
      </c>
      <c r="R14" s="7" t="str">
        <f t="shared" si="1"/>
        <v>Apr</v>
      </c>
    </row>
    <row r="15" spans="1:18">
      <c r="A15" t="s">
        <v>72</v>
      </c>
      <c r="B15" s="6" t="s">
        <v>73</v>
      </c>
      <c r="C15" t="s">
        <v>33</v>
      </c>
      <c r="D15" t="s">
        <v>74</v>
      </c>
      <c r="E15" t="s">
        <v>19</v>
      </c>
      <c r="F15" t="s">
        <v>27</v>
      </c>
      <c r="G15">
        <v>4</v>
      </c>
      <c r="H15">
        <v>5000</v>
      </c>
      <c r="I15">
        <v>20</v>
      </c>
      <c r="J15">
        <v>16000</v>
      </c>
      <c r="K15">
        <v>3000</v>
      </c>
      <c r="L15">
        <v>12000</v>
      </c>
      <c r="M15">
        <v>4000</v>
      </c>
      <c r="N15" s="5">
        <f t="shared" si="0"/>
        <v>0.25</v>
      </c>
      <c r="O15" t="s">
        <v>28</v>
      </c>
      <c r="P15" t="s">
        <v>29</v>
      </c>
      <c r="Q15" t="s">
        <v>22</v>
      </c>
      <c r="R15" s="7" t="str">
        <f t="shared" si="1"/>
        <v>Mar</v>
      </c>
    </row>
    <row r="16" spans="1:18">
      <c r="A16" t="s">
        <v>76</v>
      </c>
      <c r="B16" s="6" t="s">
        <v>77</v>
      </c>
      <c r="C16" t="s">
        <v>39</v>
      </c>
      <c r="D16" t="s">
        <v>74</v>
      </c>
      <c r="E16" t="s">
        <v>19</v>
      </c>
      <c r="F16" t="s">
        <v>85</v>
      </c>
      <c r="G16">
        <v>12</v>
      </c>
      <c r="H16">
        <v>35000</v>
      </c>
      <c r="I16">
        <v>10</v>
      </c>
      <c r="J16">
        <v>378000</v>
      </c>
      <c r="K16">
        <v>26000</v>
      </c>
      <c r="L16">
        <v>312000</v>
      </c>
      <c r="M16">
        <v>66000</v>
      </c>
      <c r="N16" s="5">
        <f t="shared" si="0"/>
        <v>0.17460317460317501</v>
      </c>
      <c r="O16" t="s">
        <v>28</v>
      </c>
      <c r="P16" t="s">
        <v>55</v>
      </c>
      <c r="Q16" t="s">
        <v>30</v>
      </c>
      <c r="R16" s="7" t="str">
        <f t="shared" si="1"/>
        <v>Jan</v>
      </c>
    </row>
    <row r="17" spans="1:18">
      <c r="A17" t="s">
        <v>78</v>
      </c>
      <c r="B17" s="6" t="s">
        <v>79</v>
      </c>
      <c r="C17" t="s">
        <v>53</v>
      </c>
      <c r="D17" t="s">
        <v>80</v>
      </c>
      <c r="E17" t="s">
        <v>19</v>
      </c>
      <c r="F17" t="s">
        <v>27</v>
      </c>
      <c r="G17">
        <v>12</v>
      </c>
      <c r="H17">
        <v>5000</v>
      </c>
      <c r="I17">
        <v>20</v>
      </c>
      <c r="J17">
        <v>48000</v>
      </c>
      <c r="K17">
        <v>3000</v>
      </c>
      <c r="L17">
        <v>36000</v>
      </c>
      <c r="M17">
        <v>12000</v>
      </c>
      <c r="N17" s="5">
        <f t="shared" si="0"/>
        <v>0.25</v>
      </c>
      <c r="O17" t="s">
        <v>28</v>
      </c>
      <c r="P17" t="s">
        <v>36</v>
      </c>
      <c r="Q17" t="s">
        <v>81</v>
      </c>
      <c r="R17" s="7" t="str">
        <f t="shared" si="1"/>
        <v>Aug</v>
      </c>
    </row>
    <row r="18" spans="1:18">
      <c r="A18" t="s">
        <v>82</v>
      </c>
      <c r="B18" s="6" t="s">
        <v>83</v>
      </c>
      <c r="C18" t="s">
        <v>59</v>
      </c>
      <c r="D18" t="s">
        <v>100</v>
      </c>
      <c r="E18" t="s">
        <v>19</v>
      </c>
      <c r="F18" t="s">
        <v>85</v>
      </c>
      <c r="G18">
        <v>15</v>
      </c>
      <c r="H18">
        <v>35000</v>
      </c>
      <c r="I18">
        <v>0</v>
      </c>
      <c r="J18">
        <v>525000</v>
      </c>
      <c r="K18">
        <v>26000</v>
      </c>
      <c r="L18">
        <v>390000</v>
      </c>
      <c r="M18">
        <v>135000</v>
      </c>
      <c r="N18" s="5">
        <f t="shared" si="0"/>
        <v>0.25714285714285701</v>
      </c>
      <c r="O18" t="s">
        <v>28</v>
      </c>
      <c r="P18" t="s">
        <v>36</v>
      </c>
      <c r="Q18" t="s">
        <v>30</v>
      </c>
      <c r="R18" s="7" t="str">
        <f t="shared" si="1"/>
        <v>May</v>
      </c>
    </row>
    <row r="19" spans="1:18">
      <c r="A19" t="s">
        <v>86</v>
      </c>
      <c r="B19" s="6" t="s">
        <v>71</v>
      </c>
      <c r="C19" t="s">
        <v>66</v>
      </c>
      <c r="D19" t="s">
        <v>74</v>
      </c>
      <c r="E19" t="s">
        <v>19</v>
      </c>
      <c r="F19" t="s">
        <v>27</v>
      </c>
      <c r="G19">
        <v>1</v>
      </c>
      <c r="H19">
        <v>5000</v>
      </c>
      <c r="I19">
        <v>10</v>
      </c>
      <c r="J19">
        <v>4500</v>
      </c>
      <c r="K19">
        <v>3000</v>
      </c>
      <c r="L19">
        <v>3000</v>
      </c>
      <c r="M19">
        <v>1500</v>
      </c>
      <c r="N19" s="5">
        <f t="shared" si="0"/>
        <v>0.33333333333333298</v>
      </c>
      <c r="O19" t="s">
        <v>35</v>
      </c>
      <c r="P19" t="s">
        <v>46</v>
      </c>
      <c r="Q19" t="s">
        <v>30</v>
      </c>
      <c r="R19" s="7" t="str">
        <f t="shared" si="1"/>
        <v>Apr</v>
      </c>
    </row>
    <row r="20" spans="1:18">
      <c r="A20" t="s">
        <v>87</v>
      </c>
      <c r="B20" s="6" t="s">
        <v>88</v>
      </c>
      <c r="C20" t="s">
        <v>69</v>
      </c>
      <c r="D20" t="s">
        <v>40</v>
      </c>
      <c r="E20" t="s">
        <v>19</v>
      </c>
      <c r="F20" t="s">
        <v>27</v>
      </c>
      <c r="G20">
        <v>10</v>
      </c>
      <c r="H20">
        <v>5000</v>
      </c>
      <c r="I20">
        <v>25</v>
      </c>
      <c r="J20">
        <v>37500</v>
      </c>
      <c r="K20">
        <v>3000</v>
      </c>
      <c r="L20">
        <v>30000</v>
      </c>
      <c r="M20">
        <v>7500</v>
      </c>
      <c r="N20" s="5">
        <f t="shared" si="0"/>
        <v>0.2</v>
      </c>
      <c r="O20" t="s">
        <v>28</v>
      </c>
      <c r="P20" t="s">
        <v>29</v>
      </c>
      <c r="Q20" t="s">
        <v>30</v>
      </c>
      <c r="R20" s="7" t="str">
        <f t="shared" si="1"/>
        <v>Oct</v>
      </c>
    </row>
    <row r="21" spans="1:18">
      <c r="A21" t="s">
        <v>89</v>
      </c>
      <c r="B21" s="6" t="s">
        <v>90</v>
      </c>
      <c r="C21" t="s">
        <v>53</v>
      </c>
      <c r="D21" t="s">
        <v>34</v>
      </c>
      <c r="E21" t="s">
        <v>19</v>
      </c>
      <c r="F21" t="s">
        <v>20</v>
      </c>
      <c r="G21">
        <v>8</v>
      </c>
      <c r="H21">
        <v>25000</v>
      </c>
      <c r="I21">
        <v>20</v>
      </c>
      <c r="J21">
        <v>160000</v>
      </c>
      <c r="K21">
        <v>18000</v>
      </c>
      <c r="L21">
        <v>144000</v>
      </c>
      <c r="M21">
        <v>16000</v>
      </c>
      <c r="N21" s="5">
        <f t="shared" si="0"/>
        <v>0.1</v>
      </c>
      <c r="O21" t="s">
        <v>35</v>
      </c>
      <c r="P21" t="s">
        <v>46</v>
      </c>
      <c r="Q21" t="s">
        <v>30</v>
      </c>
      <c r="R21" s="7" t="str">
        <f t="shared" si="1"/>
        <v>Jan</v>
      </c>
    </row>
    <row r="22" spans="1:18">
      <c r="A22" t="s">
        <v>91</v>
      </c>
      <c r="B22" s="6" t="s">
        <v>92</v>
      </c>
      <c r="C22" t="s">
        <v>33</v>
      </c>
      <c r="D22" t="s">
        <v>74</v>
      </c>
      <c r="E22" t="s">
        <v>19</v>
      </c>
      <c r="F22" t="s">
        <v>27</v>
      </c>
      <c r="G22">
        <v>9</v>
      </c>
      <c r="H22">
        <v>5000</v>
      </c>
      <c r="I22">
        <v>5</v>
      </c>
      <c r="J22">
        <v>42750</v>
      </c>
      <c r="K22">
        <v>3000</v>
      </c>
      <c r="L22">
        <v>27000</v>
      </c>
      <c r="M22">
        <v>15750</v>
      </c>
      <c r="N22" s="5">
        <f t="shared" si="0"/>
        <v>0.36842105263157898</v>
      </c>
      <c r="O22" t="s">
        <v>35</v>
      </c>
      <c r="P22" t="s">
        <v>46</v>
      </c>
      <c r="Q22" t="s">
        <v>30</v>
      </c>
      <c r="R22" s="7" t="str">
        <f t="shared" si="1"/>
        <v>Jul</v>
      </c>
    </row>
    <row r="23" spans="1:18">
      <c r="A23" t="s">
        <v>93</v>
      </c>
      <c r="B23" s="6" t="s">
        <v>94</v>
      </c>
      <c r="C23" t="s">
        <v>25</v>
      </c>
      <c r="D23" t="s">
        <v>44</v>
      </c>
      <c r="E23" t="s">
        <v>19</v>
      </c>
      <c r="F23" t="s">
        <v>85</v>
      </c>
      <c r="G23">
        <v>8</v>
      </c>
      <c r="H23">
        <v>35000</v>
      </c>
      <c r="I23">
        <v>5</v>
      </c>
      <c r="J23">
        <v>266000</v>
      </c>
      <c r="K23">
        <v>26000</v>
      </c>
      <c r="L23">
        <v>208000</v>
      </c>
      <c r="M23">
        <v>58000</v>
      </c>
      <c r="N23" s="5">
        <f t="shared" si="0"/>
        <v>0.21804511278195499</v>
      </c>
      <c r="O23" t="s">
        <v>35</v>
      </c>
      <c r="P23" t="s">
        <v>29</v>
      </c>
      <c r="Q23" t="s">
        <v>56</v>
      </c>
      <c r="R23" s="7" t="str">
        <f t="shared" si="1"/>
        <v>Apr</v>
      </c>
    </row>
    <row r="24" spans="1:18">
      <c r="A24" t="s">
        <v>95</v>
      </c>
      <c r="B24" s="6" t="s">
        <v>96</v>
      </c>
      <c r="C24" t="s">
        <v>25</v>
      </c>
      <c r="D24" t="s">
        <v>74</v>
      </c>
      <c r="E24" t="s">
        <v>19</v>
      </c>
      <c r="F24" t="s">
        <v>45</v>
      </c>
      <c r="G24">
        <v>9</v>
      </c>
      <c r="H24">
        <v>85000</v>
      </c>
      <c r="I24">
        <v>0</v>
      </c>
      <c r="J24">
        <v>765000</v>
      </c>
      <c r="K24">
        <v>65000</v>
      </c>
      <c r="L24">
        <v>585000</v>
      </c>
      <c r="M24">
        <v>180000</v>
      </c>
      <c r="N24" s="5">
        <f t="shared" si="0"/>
        <v>0.23529411764705899</v>
      </c>
      <c r="O24" t="s">
        <v>35</v>
      </c>
      <c r="P24" t="s">
        <v>36</v>
      </c>
      <c r="Q24" t="s">
        <v>30</v>
      </c>
      <c r="R24" s="7" t="str">
        <f t="shared" si="1"/>
        <v>May</v>
      </c>
    </row>
    <row r="25" spans="1:18">
      <c r="A25" t="s">
        <v>97</v>
      </c>
      <c r="B25" s="6" t="s">
        <v>98</v>
      </c>
      <c r="C25" t="s">
        <v>99</v>
      </c>
      <c r="D25" t="s">
        <v>100</v>
      </c>
      <c r="E25" t="s">
        <v>19</v>
      </c>
      <c r="F25" t="s">
        <v>85</v>
      </c>
      <c r="G25">
        <v>20</v>
      </c>
      <c r="H25">
        <v>35000</v>
      </c>
      <c r="I25">
        <v>5</v>
      </c>
      <c r="J25">
        <v>665000</v>
      </c>
      <c r="K25">
        <v>26000</v>
      </c>
      <c r="L25">
        <v>520000</v>
      </c>
      <c r="M25">
        <v>145000</v>
      </c>
      <c r="N25" s="5">
        <f t="shared" si="0"/>
        <v>0.21804511278195499</v>
      </c>
      <c r="O25" t="s">
        <v>35</v>
      </c>
      <c r="P25" t="s">
        <v>55</v>
      </c>
      <c r="Q25" t="s">
        <v>30</v>
      </c>
      <c r="R25" s="7" t="str">
        <f t="shared" si="1"/>
        <v>Sep</v>
      </c>
    </row>
    <row r="26" spans="1:18">
      <c r="A26" t="s">
        <v>101</v>
      </c>
      <c r="B26" s="6" t="s">
        <v>102</v>
      </c>
      <c r="C26" t="s">
        <v>17</v>
      </c>
      <c r="D26" t="s">
        <v>18</v>
      </c>
      <c r="E26" t="s">
        <v>19</v>
      </c>
      <c r="F26" t="s">
        <v>85</v>
      </c>
      <c r="G26">
        <v>5</v>
      </c>
      <c r="H26">
        <v>35000</v>
      </c>
      <c r="I26">
        <v>20</v>
      </c>
      <c r="J26">
        <v>140000</v>
      </c>
      <c r="K26">
        <v>26000</v>
      </c>
      <c r="L26">
        <v>130000</v>
      </c>
      <c r="M26">
        <v>10000</v>
      </c>
      <c r="N26" s="5">
        <f t="shared" si="0"/>
        <v>7.1428571428571397E-2</v>
      </c>
      <c r="O26" t="s">
        <v>35</v>
      </c>
      <c r="P26" t="s">
        <v>21</v>
      </c>
      <c r="Q26" t="s">
        <v>81</v>
      </c>
      <c r="R26" s="7" t="str">
        <f t="shared" si="1"/>
        <v>Feb</v>
      </c>
    </row>
    <row r="27" spans="1:18">
      <c r="A27" t="s">
        <v>103</v>
      </c>
      <c r="B27" s="6" t="s">
        <v>104</v>
      </c>
      <c r="C27" t="s">
        <v>25</v>
      </c>
      <c r="D27" t="s">
        <v>18</v>
      </c>
      <c r="E27" t="s">
        <v>19</v>
      </c>
      <c r="F27" t="s">
        <v>45</v>
      </c>
      <c r="G27">
        <v>1</v>
      </c>
      <c r="H27">
        <v>85000</v>
      </c>
      <c r="I27">
        <v>0</v>
      </c>
      <c r="J27">
        <v>85000</v>
      </c>
      <c r="K27">
        <v>65000</v>
      </c>
      <c r="L27">
        <v>65000</v>
      </c>
      <c r="M27">
        <v>20000</v>
      </c>
      <c r="N27" s="5">
        <f t="shared" si="0"/>
        <v>0.23529411764705899</v>
      </c>
      <c r="O27" t="s">
        <v>35</v>
      </c>
      <c r="P27" t="s">
        <v>46</v>
      </c>
      <c r="Q27" t="s">
        <v>30</v>
      </c>
      <c r="R27" s="7" t="str">
        <f t="shared" si="1"/>
        <v>Mar</v>
      </c>
    </row>
    <row r="28" spans="1:18">
      <c r="A28" t="s">
        <v>105</v>
      </c>
      <c r="B28" s="6" t="s">
        <v>106</v>
      </c>
      <c r="C28" t="s">
        <v>53</v>
      </c>
      <c r="D28" t="s">
        <v>74</v>
      </c>
      <c r="E28" t="s">
        <v>19</v>
      </c>
      <c r="F28" t="s">
        <v>20</v>
      </c>
      <c r="G28">
        <v>16</v>
      </c>
      <c r="H28">
        <v>25000</v>
      </c>
      <c r="I28">
        <v>25</v>
      </c>
      <c r="J28">
        <v>300000</v>
      </c>
      <c r="K28">
        <v>18000</v>
      </c>
      <c r="L28">
        <v>288000</v>
      </c>
      <c r="M28">
        <v>12000</v>
      </c>
      <c r="N28" s="5">
        <f t="shared" si="0"/>
        <v>0.04</v>
      </c>
      <c r="O28" t="s">
        <v>28</v>
      </c>
      <c r="P28" t="s">
        <v>55</v>
      </c>
      <c r="Q28" t="s">
        <v>30</v>
      </c>
      <c r="R28" s="7" t="str">
        <f t="shared" si="1"/>
        <v>May</v>
      </c>
    </row>
    <row r="29" spans="1:18">
      <c r="A29" t="s">
        <v>107</v>
      </c>
      <c r="B29" s="6" t="s">
        <v>108</v>
      </c>
      <c r="C29" t="s">
        <v>49</v>
      </c>
      <c r="D29" t="s">
        <v>74</v>
      </c>
      <c r="E29" t="s">
        <v>19</v>
      </c>
      <c r="F29" t="s">
        <v>27</v>
      </c>
      <c r="G29">
        <v>2</v>
      </c>
      <c r="H29">
        <v>5000</v>
      </c>
      <c r="I29">
        <v>15</v>
      </c>
      <c r="J29">
        <v>8500</v>
      </c>
      <c r="K29">
        <v>3000</v>
      </c>
      <c r="L29">
        <v>6000</v>
      </c>
      <c r="M29">
        <v>2500</v>
      </c>
      <c r="N29" s="5">
        <f t="shared" si="0"/>
        <v>0.29411764705882398</v>
      </c>
      <c r="O29" t="s">
        <v>35</v>
      </c>
      <c r="P29" t="s">
        <v>46</v>
      </c>
      <c r="Q29" t="s">
        <v>81</v>
      </c>
      <c r="R29" s="7" t="str">
        <f t="shared" si="1"/>
        <v>Sep</v>
      </c>
    </row>
    <row r="30" spans="1:18">
      <c r="A30" t="s">
        <v>109</v>
      </c>
      <c r="B30" s="6" t="s">
        <v>110</v>
      </c>
      <c r="C30" t="s">
        <v>25</v>
      </c>
      <c r="D30" t="s">
        <v>80</v>
      </c>
      <c r="E30" t="s">
        <v>19</v>
      </c>
      <c r="F30" t="s">
        <v>45</v>
      </c>
      <c r="G30">
        <v>16</v>
      </c>
      <c r="H30">
        <v>85000</v>
      </c>
      <c r="I30">
        <v>15</v>
      </c>
      <c r="J30">
        <v>1156000</v>
      </c>
      <c r="K30">
        <v>65000</v>
      </c>
      <c r="L30">
        <v>1040000</v>
      </c>
      <c r="M30">
        <v>116000</v>
      </c>
      <c r="N30" s="5">
        <f t="shared" si="0"/>
        <v>0.100346020761246</v>
      </c>
      <c r="O30" t="s">
        <v>28</v>
      </c>
      <c r="P30" t="s">
        <v>36</v>
      </c>
      <c r="Q30" t="s">
        <v>81</v>
      </c>
      <c r="R30" s="7" t="str">
        <f t="shared" si="1"/>
        <v>Mar</v>
      </c>
    </row>
    <row r="31" spans="1:18">
      <c r="A31" t="s">
        <v>111</v>
      </c>
      <c r="B31" s="6" t="s">
        <v>92</v>
      </c>
      <c r="C31" t="s">
        <v>53</v>
      </c>
      <c r="D31" t="s">
        <v>100</v>
      </c>
      <c r="E31" t="s">
        <v>19</v>
      </c>
      <c r="F31" t="s">
        <v>50</v>
      </c>
      <c r="G31">
        <v>20</v>
      </c>
      <c r="H31">
        <v>15000</v>
      </c>
      <c r="I31">
        <v>20</v>
      </c>
      <c r="J31">
        <v>240000</v>
      </c>
      <c r="K31">
        <v>10000</v>
      </c>
      <c r="L31">
        <v>200000</v>
      </c>
      <c r="M31">
        <v>40000</v>
      </c>
      <c r="N31" s="5">
        <f t="shared" si="0"/>
        <v>0.16666666666666699</v>
      </c>
      <c r="O31" t="s">
        <v>28</v>
      </c>
      <c r="P31" t="s">
        <v>46</v>
      </c>
      <c r="Q31" t="s">
        <v>30</v>
      </c>
      <c r="R31" s="7" t="str">
        <f t="shared" si="1"/>
        <v>Jul</v>
      </c>
    </row>
    <row r="32" spans="1:18">
      <c r="A32" t="s">
        <v>112</v>
      </c>
      <c r="B32" s="6" t="s">
        <v>113</v>
      </c>
      <c r="C32" t="s">
        <v>17</v>
      </c>
      <c r="D32" t="s">
        <v>80</v>
      </c>
      <c r="E32" t="s">
        <v>19</v>
      </c>
      <c r="F32" t="s">
        <v>45</v>
      </c>
      <c r="G32">
        <v>15</v>
      </c>
      <c r="H32">
        <v>85000</v>
      </c>
      <c r="I32">
        <v>15</v>
      </c>
      <c r="J32">
        <v>1083750</v>
      </c>
      <c r="K32">
        <v>65000</v>
      </c>
      <c r="L32">
        <v>975000</v>
      </c>
      <c r="M32">
        <v>108750</v>
      </c>
      <c r="N32" s="5">
        <f t="shared" si="0"/>
        <v>0.100346020761246</v>
      </c>
      <c r="O32" t="s">
        <v>35</v>
      </c>
      <c r="P32" t="s">
        <v>41</v>
      </c>
      <c r="Q32" t="s">
        <v>30</v>
      </c>
      <c r="R32" s="7" t="str">
        <f t="shared" si="1"/>
        <v>Jun</v>
      </c>
    </row>
    <row r="33" spans="1:18">
      <c r="A33" t="s">
        <v>114</v>
      </c>
      <c r="B33" s="6" t="s">
        <v>115</v>
      </c>
      <c r="C33" t="s">
        <v>59</v>
      </c>
      <c r="D33" t="s">
        <v>18</v>
      </c>
      <c r="E33" t="s">
        <v>19</v>
      </c>
      <c r="F33" t="s">
        <v>45</v>
      </c>
      <c r="G33">
        <v>15</v>
      </c>
      <c r="H33">
        <v>85000</v>
      </c>
      <c r="I33">
        <v>10</v>
      </c>
      <c r="J33">
        <v>1147500</v>
      </c>
      <c r="K33">
        <v>65000</v>
      </c>
      <c r="L33">
        <v>975000</v>
      </c>
      <c r="M33">
        <v>172500</v>
      </c>
      <c r="N33" s="5">
        <f t="shared" si="0"/>
        <v>0.15032679738562099</v>
      </c>
      <c r="O33" t="s">
        <v>35</v>
      </c>
      <c r="P33" t="s">
        <v>46</v>
      </c>
      <c r="Q33" t="s">
        <v>30</v>
      </c>
      <c r="R33" s="7" t="str">
        <f t="shared" si="1"/>
        <v>Sep</v>
      </c>
    </row>
    <row r="34" spans="1:18">
      <c r="A34" t="s">
        <v>116</v>
      </c>
      <c r="B34" s="6" t="s">
        <v>117</v>
      </c>
      <c r="C34" t="s">
        <v>39</v>
      </c>
      <c r="D34" t="s">
        <v>100</v>
      </c>
      <c r="E34" t="s">
        <v>19</v>
      </c>
      <c r="F34" t="s">
        <v>85</v>
      </c>
      <c r="G34">
        <v>7</v>
      </c>
      <c r="H34">
        <v>35000</v>
      </c>
      <c r="I34">
        <v>5</v>
      </c>
      <c r="J34">
        <v>232750</v>
      </c>
      <c r="K34">
        <v>26000</v>
      </c>
      <c r="L34">
        <v>182000</v>
      </c>
      <c r="M34">
        <v>50750</v>
      </c>
      <c r="N34" s="5">
        <f t="shared" ref="N34:N65" si="2">M34/J34</f>
        <v>0.21804511278195499</v>
      </c>
      <c r="O34" t="s">
        <v>28</v>
      </c>
      <c r="P34" t="s">
        <v>29</v>
      </c>
      <c r="Q34" t="s">
        <v>56</v>
      </c>
      <c r="R34" s="7" t="str">
        <f t="shared" ref="R34:R65" si="3">TEXT(B34,"MMM")</f>
        <v>Nov</v>
      </c>
    </row>
    <row r="35" spans="1:18">
      <c r="A35" t="s">
        <v>118</v>
      </c>
      <c r="B35" s="6" t="s">
        <v>96</v>
      </c>
      <c r="C35" t="s">
        <v>53</v>
      </c>
      <c r="D35" t="s">
        <v>100</v>
      </c>
      <c r="E35" t="s">
        <v>19</v>
      </c>
      <c r="F35" t="s">
        <v>45</v>
      </c>
      <c r="G35">
        <v>14</v>
      </c>
      <c r="H35">
        <v>85000</v>
      </c>
      <c r="I35">
        <v>25</v>
      </c>
      <c r="J35">
        <v>892500</v>
      </c>
      <c r="K35">
        <v>65000</v>
      </c>
      <c r="L35">
        <v>910000</v>
      </c>
      <c r="M35">
        <v>-17500</v>
      </c>
      <c r="N35" s="5">
        <f t="shared" si="2"/>
        <v>-1.9607843137254902E-2</v>
      </c>
      <c r="O35" t="s">
        <v>28</v>
      </c>
      <c r="P35" t="s">
        <v>29</v>
      </c>
      <c r="Q35" t="s">
        <v>30</v>
      </c>
      <c r="R35" s="7" t="str">
        <f t="shared" si="3"/>
        <v>May</v>
      </c>
    </row>
    <row r="36" spans="1:18">
      <c r="A36" t="s">
        <v>119</v>
      </c>
      <c r="B36" s="6" t="s">
        <v>120</v>
      </c>
      <c r="C36" t="s">
        <v>99</v>
      </c>
      <c r="D36" t="s">
        <v>26</v>
      </c>
      <c r="E36" t="s">
        <v>19</v>
      </c>
      <c r="F36" t="s">
        <v>45</v>
      </c>
      <c r="G36">
        <v>10</v>
      </c>
      <c r="H36">
        <v>85000</v>
      </c>
      <c r="I36">
        <v>10</v>
      </c>
      <c r="J36">
        <v>765000</v>
      </c>
      <c r="K36">
        <v>65000</v>
      </c>
      <c r="L36">
        <v>650000</v>
      </c>
      <c r="M36">
        <v>115000</v>
      </c>
      <c r="N36" s="5">
        <f t="shared" si="2"/>
        <v>0.15032679738562099</v>
      </c>
      <c r="O36" t="s">
        <v>35</v>
      </c>
      <c r="P36" t="s">
        <v>36</v>
      </c>
      <c r="Q36" t="s">
        <v>30</v>
      </c>
      <c r="R36" s="7" t="str">
        <f t="shared" si="3"/>
        <v>Oct</v>
      </c>
    </row>
    <row r="37" spans="1:18">
      <c r="A37" t="s">
        <v>121</v>
      </c>
      <c r="B37" s="6" t="s">
        <v>92</v>
      </c>
      <c r="C37" t="s">
        <v>33</v>
      </c>
      <c r="D37" t="s">
        <v>26</v>
      </c>
      <c r="E37" t="s">
        <v>19</v>
      </c>
      <c r="F37" t="s">
        <v>27</v>
      </c>
      <c r="G37">
        <v>3</v>
      </c>
      <c r="H37">
        <v>5000</v>
      </c>
      <c r="I37">
        <v>15</v>
      </c>
      <c r="J37">
        <v>12750</v>
      </c>
      <c r="K37">
        <v>3000</v>
      </c>
      <c r="L37">
        <v>9000</v>
      </c>
      <c r="M37">
        <v>3750</v>
      </c>
      <c r="N37" s="5">
        <f t="shared" si="2"/>
        <v>0.29411764705882398</v>
      </c>
      <c r="O37" t="s">
        <v>35</v>
      </c>
      <c r="P37" t="s">
        <v>21</v>
      </c>
      <c r="Q37" t="s">
        <v>30</v>
      </c>
      <c r="R37" s="7" t="str">
        <f t="shared" si="3"/>
        <v>Jul</v>
      </c>
    </row>
    <row r="38" spans="1:18">
      <c r="A38" t="s">
        <v>122</v>
      </c>
      <c r="B38" s="6" t="s">
        <v>123</v>
      </c>
      <c r="C38" t="s">
        <v>69</v>
      </c>
      <c r="D38" t="s">
        <v>80</v>
      </c>
      <c r="E38" t="s">
        <v>19</v>
      </c>
      <c r="F38" t="s">
        <v>45</v>
      </c>
      <c r="G38">
        <v>20</v>
      </c>
      <c r="H38">
        <v>85000</v>
      </c>
      <c r="I38">
        <v>25</v>
      </c>
      <c r="J38">
        <v>1275000</v>
      </c>
      <c r="K38">
        <v>65000</v>
      </c>
      <c r="L38">
        <v>1300000</v>
      </c>
      <c r="M38">
        <v>-25000</v>
      </c>
      <c r="N38" s="5">
        <f t="shared" si="2"/>
        <v>-1.9607843137254902E-2</v>
      </c>
      <c r="O38" t="s">
        <v>28</v>
      </c>
      <c r="P38" t="s">
        <v>29</v>
      </c>
      <c r="Q38" t="s">
        <v>30</v>
      </c>
      <c r="R38" s="7" t="str">
        <f t="shared" si="3"/>
        <v>Jul</v>
      </c>
    </row>
    <row r="39" spans="1:18">
      <c r="A39" t="s">
        <v>124</v>
      </c>
      <c r="B39" s="6" t="s">
        <v>125</v>
      </c>
      <c r="C39" t="s">
        <v>69</v>
      </c>
      <c r="D39" t="s">
        <v>34</v>
      </c>
      <c r="E39" t="s">
        <v>19</v>
      </c>
      <c r="F39" t="s">
        <v>50</v>
      </c>
      <c r="G39">
        <v>5</v>
      </c>
      <c r="H39">
        <v>15000</v>
      </c>
      <c r="I39">
        <v>20</v>
      </c>
      <c r="J39">
        <v>60000</v>
      </c>
      <c r="K39">
        <v>10000</v>
      </c>
      <c r="L39">
        <v>50000</v>
      </c>
      <c r="M39">
        <v>10000</v>
      </c>
      <c r="N39" s="5">
        <f t="shared" si="2"/>
        <v>0.16666666666666699</v>
      </c>
      <c r="O39" t="s">
        <v>28</v>
      </c>
      <c r="P39" t="s">
        <v>46</v>
      </c>
      <c r="Q39" t="s">
        <v>30</v>
      </c>
      <c r="R39" s="7" t="str">
        <f t="shared" si="3"/>
        <v>Jul</v>
      </c>
    </row>
    <row r="40" spans="1:18">
      <c r="A40" t="s">
        <v>126</v>
      </c>
      <c r="B40" s="6" t="s">
        <v>127</v>
      </c>
      <c r="C40" t="s">
        <v>49</v>
      </c>
      <c r="D40" t="s">
        <v>100</v>
      </c>
      <c r="E40" t="s">
        <v>19</v>
      </c>
      <c r="F40" t="s">
        <v>45</v>
      </c>
      <c r="G40">
        <v>16</v>
      </c>
      <c r="H40">
        <v>85000</v>
      </c>
      <c r="I40">
        <v>20</v>
      </c>
      <c r="J40">
        <v>1088000</v>
      </c>
      <c r="K40">
        <v>65000</v>
      </c>
      <c r="L40">
        <v>1040000</v>
      </c>
      <c r="M40">
        <v>48000</v>
      </c>
      <c r="N40" s="5">
        <f t="shared" si="2"/>
        <v>4.4117647058823498E-2</v>
      </c>
      <c r="O40" t="s">
        <v>28</v>
      </c>
      <c r="P40" t="s">
        <v>21</v>
      </c>
      <c r="Q40" t="s">
        <v>30</v>
      </c>
      <c r="R40" s="7" t="str">
        <f t="shared" si="3"/>
        <v>May</v>
      </c>
    </row>
    <row r="41" spans="1:18">
      <c r="A41" t="s">
        <v>128</v>
      </c>
      <c r="B41" s="6" t="s">
        <v>129</v>
      </c>
      <c r="C41" t="s">
        <v>59</v>
      </c>
      <c r="D41" t="s">
        <v>34</v>
      </c>
      <c r="E41" t="s">
        <v>19</v>
      </c>
      <c r="F41" t="s">
        <v>85</v>
      </c>
      <c r="G41">
        <v>12</v>
      </c>
      <c r="H41">
        <v>35000</v>
      </c>
      <c r="I41">
        <v>25</v>
      </c>
      <c r="J41">
        <v>315000</v>
      </c>
      <c r="K41">
        <v>26000</v>
      </c>
      <c r="L41">
        <v>312000</v>
      </c>
      <c r="M41">
        <v>3000</v>
      </c>
      <c r="N41" s="5">
        <f t="shared" si="2"/>
        <v>9.5238095238095195E-3</v>
      </c>
      <c r="O41" t="s">
        <v>35</v>
      </c>
      <c r="P41" t="s">
        <v>21</v>
      </c>
      <c r="Q41" t="s">
        <v>30</v>
      </c>
      <c r="R41" s="7" t="str">
        <f t="shared" si="3"/>
        <v>Aug</v>
      </c>
    </row>
    <row r="42" spans="1:18">
      <c r="A42" t="s">
        <v>130</v>
      </c>
      <c r="B42" s="6" t="s">
        <v>131</v>
      </c>
      <c r="C42" t="s">
        <v>49</v>
      </c>
      <c r="D42" t="s">
        <v>40</v>
      </c>
      <c r="E42" t="s">
        <v>19</v>
      </c>
      <c r="F42" t="s">
        <v>20</v>
      </c>
      <c r="G42">
        <v>14</v>
      </c>
      <c r="H42">
        <v>25000</v>
      </c>
      <c r="I42">
        <v>10</v>
      </c>
      <c r="J42">
        <v>315000</v>
      </c>
      <c r="K42">
        <v>18000</v>
      </c>
      <c r="L42">
        <v>252000</v>
      </c>
      <c r="M42">
        <v>63000</v>
      </c>
      <c r="N42" s="5">
        <f t="shared" si="2"/>
        <v>0.2</v>
      </c>
      <c r="O42" t="s">
        <v>28</v>
      </c>
      <c r="P42" t="s">
        <v>29</v>
      </c>
      <c r="Q42" t="s">
        <v>22</v>
      </c>
      <c r="R42" s="7" t="str">
        <f t="shared" si="3"/>
        <v>Sep</v>
      </c>
    </row>
    <row r="43" spans="1:18">
      <c r="A43" t="s">
        <v>132</v>
      </c>
      <c r="B43" s="6" t="s">
        <v>133</v>
      </c>
      <c r="C43" t="s">
        <v>69</v>
      </c>
      <c r="D43" t="s">
        <v>34</v>
      </c>
      <c r="E43" t="s">
        <v>19</v>
      </c>
      <c r="F43" t="s">
        <v>45</v>
      </c>
      <c r="G43">
        <v>19</v>
      </c>
      <c r="H43">
        <v>85000</v>
      </c>
      <c r="I43">
        <v>15</v>
      </c>
      <c r="J43">
        <v>1372750</v>
      </c>
      <c r="K43">
        <v>65000</v>
      </c>
      <c r="L43">
        <v>1235000</v>
      </c>
      <c r="M43">
        <v>137750</v>
      </c>
      <c r="N43" s="5">
        <f t="shared" si="2"/>
        <v>0.100346020761246</v>
      </c>
      <c r="O43" t="s">
        <v>35</v>
      </c>
      <c r="P43" t="s">
        <v>21</v>
      </c>
      <c r="Q43" t="s">
        <v>30</v>
      </c>
      <c r="R43" s="7" t="str">
        <f t="shared" si="3"/>
        <v>Mar</v>
      </c>
    </row>
    <row r="44" spans="1:18">
      <c r="A44" t="s">
        <v>134</v>
      </c>
      <c r="B44" s="6" t="s">
        <v>135</v>
      </c>
      <c r="C44" t="s">
        <v>17</v>
      </c>
      <c r="D44" t="s">
        <v>44</v>
      </c>
      <c r="E44" t="s">
        <v>19</v>
      </c>
      <c r="F44" t="s">
        <v>27</v>
      </c>
      <c r="G44">
        <v>2</v>
      </c>
      <c r="H44">
        <v>5000</v>
      </c>
      <c r="I44">
        <v>10</v>
      </c>
      <c r="J44">
        <v>9000</v>
      </c>
      <c r="K44">
        <v>3000</v>
      </c>
      <c r="L44">
        <v>6000</v>
      </c>
      <c r="M44">
        <v>3000</v>
      </c>
      <c r="N44" s="5">
        <f t="shared" si="2"/>
        <v>0.33333333333333298</v>
      </c>
      <c r="O44" t="s">
        <v>28</v>
      </c>
      <c r="P44" t="s">
        <v>55</v>
      </c>
      <c r="Q44" t="s">
        <v>56</v>
      </c>
      <c r="R44" s="7" t="str">
        <f t="shared" si="3"/>
        <v>Dec</v>
      </c>
    </row>
    <row r="45" spans="1:18">
      <c r="A45" t="s">
        <v>136</v>
      </c>
      <c r="B45" s="6" t="s">
        <v>137</v>
      </c>
      <c r="C45" t="s">
        <v>59</v>
      </c>
      <c r="D45" t="s">
        <v>74</v>
      </c>
      <c r="E45" t="s">
        <v>19</v>
      </c>
      <c r="F45" t="s">
        <v>45</v>
      </c>
      <c r="G45">
        <v>18</v>
      </c>
      <c r="H45">
        <v>85000</v>
      </c>
      <c r="I45">
        <v>15</v>
      </c>
      <c r="J45">
        <v>1300500</v>
      </c>
      <c r="K45">
        <v>65000</v>
      </c>
      <c r="L45">
        <v>1170000</v>
      </c>
      <c r="M45">
        <v>130500</v>
      </c>
      <c r="N45" s="5">
        <f t="shared" si="2"/>
        <v>0.100346020761246</v>
      </c>
      <c r="O45" t="s">
        <v>35</v>
      </c>
      <c r="P45" t="s">
        <v>36</v>
      </c>
      <c r="Q45" t="s">
        <v>138</v>
      </c>
      <c r="R45" s="7" t="str">
        <f t="shared" si="3"/>
        <v>Oct</v>
      </c>
    </row>
    <row r="46" spans="1:18">
      <c r="A46" t="s">
        <v>139</v>
      </c>
      <c r="B46" s="6" t="s">
        <v>140</v>
      </c>
      <c r="C46" t="s">
        <v>49</v>
      </c>
      <c r="D46" t="s">
        <v>40</v>
      </c>
      <c r="E46" t="s">
        <v>19</v>
      </c>
      <c r="F46" t="s">
        <v>20</v>
      </c>
      <c r="G46">
        <v>20</v>
      </c>
      <c r="H46">
        <v>25000</v>
      </c>
      <c r="I46">
        <v>0</v>
      </c>
      <c r="J46">
        <v>500000</v>
      </c>
      <c r="K46">
        <v>18000</v>
      </c>
      <c r="L46">
        <v>360000</v>
      </c>
      <c r="M46">
        <v>140000</v>
      </c>
      <c r="N46" s="5">
        <f t="shared" si="2"/>
        <v>0.28000000000000003</v>
      </c>
      <c r="O46" t="s">
        <v>28</v>
      </c>
      <c r="P46" t="s">
        <v>21</v>
      </c>
      <c r="Q46" t="s">
        <v>22</v>
      </c>
      <c r="R46" s="7" t="str">
        <f t="shared" si="3"/>
        <v>Jan</v>
      </c>
    </row>
    <row r="47" spans="1:18">
      <c r="A47" t="s">
        <v>141</v>
      </c>
      <c r="B47" s="6" t="s">
        <v>142</v>
      </c>
      <c r="C47" t="s">
        <v>25</v>
      </c>
      <c r="D47" t="s">
        <v>44</v>
      </c>
      <c r="E47" t="s">
        <v>19</v>
      </c>
      <c r="F47" t="s">
        <v>45</v>
      </c>
      <c r="G47">
        <v>19</v>
      </c>
      <c r="H47">
        <v>85000</v>
      </c>
      <c r="I47">
        <v>25</v>
      </c>
      <c r="J47">
        <v>1211250</v>
      </c>
      <c r="K47">
        <v>65000</v>
      </c>
      <c r="L47">
        <v>1235000</v>
      </c>
      <c r="M47">
        <v>-23750</v>
      </c>
      <c r="N47" s="5">
        <f t="shared" si="2"/>
        <v>-1.9607843137254902E-2</v>
      </c>
      <c r="O47" t="s">
        <v>35</v>
      </c>
      <c r="P47" t="s">
        <v>46</v>
      </c>
      <c r="Q47" t="s">
        <v>30</v>
      </c>
      <c r="R47" s="7" t="str">
        <f t="shared" si="3"/>
        <v>Dec</v>
      </c>
    </row>
    <row r="48" spans="1:18">
      <c r="A48" t="s">
        <v>143</v>
      </c>
      <c r="B48" s="6" t="s">
        <v>144</v>
      </c>
      <c r="C48" t="s">
        <v>66</v>
      </c>
      <c r="D48" t="s">
        <v>44</v>
      </c>
      <c r="E48" t="s">
        <v>19</v>
      </c>
      <c r="F48" t="s">
        <v>50</v>
      </c>
      <c r="G48">
        <v>9</v>
      </c>
      <c r="H48">
        <v>15000</v>
      </c>
      <c r="I48">
        <v>20</v>
      </c>
      <c r="J48">
        <v>108000</v>
      </c>
      <c r="K48">
        <v>10000</v>
      </c>
      <c r="L48">
        <v>90000</v>
      </c>
      <c r="M48">
        <v>18000</v>
      </c>
      <c r="N48" s="5">
        <f t="shared" si="2"/>
        <v>0.16666666666666699</v>
      </c>
      <c r="O48" t="s">
        <v>28</v>
      </c>
      <c r="P48" t="s">
        <v>29</v>
      </c>
      <c r="Q48" t="s">
        <v>30</v>
      </c>
      <c r="R48" s="7" t="str">
        <f t="shared" si="3"/>
        <v>Oct</v>
      </c>
    </row>
    <row r="49" spans="1:18">
      <c r="A49" t="s">
        <v>145</v>
      </c>
      <c r="B49" s="6" t="s">
        <v>146</v>
      </c>
      <c r="C49" t="s">
        <v>66</v>
      </c>
      <c r="D49" t="s">
        <v>80</v>
      </c>
      <c r="E49" t="s">
        <v>19</v>
      </c>
      <c r="F49" t="s">
        <v>20</v>
      </c>
      <c r="G49">
        <v>17</v>
      </c>
      <c r="H49">
        <v>25000</v>
      </c>
      <c r="I49">
        <v>5</v>
      </c>
      <c r="J49">
        <v>403750</v>
      </c>
      <c r="K49">
        <v>18000</v>
      </c>
      <c r="L49">
        <v>306000</v>
      </c>
      <c r="M49">
        <v>97750</v>
      </c>
      <c r="N49" s="5">
        <f t="shared" si="2"/>
        <v>0.24210526315789499</v>
      </c>
      <c r="O49" t="s">
        <v>35</v>
      </c>
      <c r="P49" t="s">
        <v>55</v>
      </c>
      <c r="Q49" t="s">
        <v>22</v>
      </c>
      <c r="R49" s="7" t="str">
        <f t="shared" si="3"/>
        <v>Dec</v>
      </c>
    </row>
    <row r="50" spans="1:18">
      <c r="A50" t="s">
        <v>147</v>
      </c>
      <c r="B50" s="6" t="s">
        <v>148</v>
      </c>
      <c r="C50" t="s">
        <v>49</v>
      </c>
      <c r="D50" t="s">
        <v>26</v>
      </c>
      <c r="E50" t="s">
        <v>19</v>
      </c>
      <c r="F50" t="s">
        <v>20</v>
      </c>
      <c r="G50">
        <v>3</v>
      </c>
      <c r="H50">
        <v>25000</v>
      </c>
      <c r="I50">
        <v>15</v>
      </c>
      <c r="J50">
        <v>63750</v>
      </c>
      <c r="K50">
        <v>18000</v>
      </c>
      <c r="L50">
        <v>54000</v>
      </c>
      <c r="M50">
        <v>9750</v>
      </c>
      <c r="N50" s="5">
        <f t="shared" si="2"/>
        <v>0.152941176470588</v>
      </c>
      <c r="O50" t="s">
        <v>28</v>
      </c>
      <c r="P50" t="s">
        <v>46</v>
      </c>
      <c r="Q50" t="s">
        <v>30</v>
      </c>
      <c r="R50" s="7" t="str">
        <f t="shared" si="3"/>
        <v>Dec</v>
      </c>
    </row>
    <row r="51" spans="1:18">
      <c r="A51" t="s">
        <v>149</v>
      </c>
      <c r="B51" s="6" t="s">
        <v>150</v>
      </c>
      <c r="C51" t="s">
        <v>39</v>
      </c>
      <c r="D51" t="s">
        <v>80</v>
      </c>
      <c r="E51" t="s">
        <v>19</v>
      </c>
      <c r="F51" t="s">
        <v>27</v>
      </c>
      <c r="G51">
        <v>14</v>
      </c>
      <c r="H51">
        <v>5000</v>
      </c>
      <c r="I51">
        <v>25</v>
      </c>
      <c r="J51">
        <v>52500</v>
      </c>
      <c r="K51">
        <v>3000</v>
      </c>
      <c r="L51">
        <v>42000</v>
      </c>
      <c r="M51">
        <v>10500</v>
      </c>
      <c r="N51" s="5">
        <f t="shared" si="2"/>
        <v>0.2</v>
      </c>
      <c r="O51" t="s">
        <v>28</v>
      </c>
      <c r="P51" t="s">
        <v>21</v>
      </c>
      <c r="Q51" t="s">
        <v>138</v>
      </c>
      <c r="R51" s="7" t="str">
        <f t="shared" si="3"/>
        <v>Jan</v>
      </c>
    </row>
    <row r="52" spans="1:18">
      <c r="A52" t="s">
        <v>151</v>
      </c>
      <c r="B52" s="6" t="s">
        <v>152</v>
      </c>
      <c r="C52" t="s">
        <v>17</v>
      </c>
      <c r="D52" t="s">
        <v>74</v>
      </c>
      <c r="E52" t="s">
        <v>19</v>
      </c>
      <c r="F52" t="s">
        <v>20</v>
      </c>
      <c r="G52">
        <v>14</v>
      </c>
      <c r="H52">
        <v>25000</v>
      </c>
      <c r="I52">
        <v>5</v>
      </c>
      <c r="J52">
        <v>332500</v>
      </c>
      <c r="K52">
        <v>18000</v>
      </c>
      <c r="L52">
        <v>252000</v>
      </c>
      <c r="M52">
        <v>80500</v>
      </c>
      <c r="N52" s="5">
        <f t="shared" si="2"/>
        <v>0.24210526315789499</v>
      </c>
      <c r="O52" t="s">
        <v>35</v>
      </c>
      <c r="P52" t="s">
        <v>41</v>
      </c>
      <c r="Q52" t="s">
        <v>22</v>
      </c>
      <c r="R52" s="7" t="str">
        <f t="shared" si="3"/>
        <v>Mar</v>
      </c>
    </row>
    <row r="53" spans="1:18">
      <c r="A53" t="s">
        <v>153</v>
      </c>
      <c r="B53" s="6" t="s">
        <v>154</v>
      </c>
      <c r="C53" t="s">
        <v>33</v>
      </c>
      <c r="D53" t="s">
        <v>18</v>
      </c>
      <c r="E53" t="s">
        <v>19</v>
      </c>
      <c r="F53" t="s">
        <v>20</v>
      </c>
      <c r="G53">
        <v>3</v>
      </c>
      <c r="H53">
        <v>25000</v>
      </c>
      <c r="I53">
        <v>10</v>
      </c>
      <c r="J53">
        <v>67500</v>
      </c>
      <c r="K53">
        <v>18000</v>
      </c>
      <c r="L53">
        <v>54000</v>
      </c>
      <c r="M53">
        <v>13500</v>
      </c>
      <c r="N53" s="5">
        <f t="shared" si="2"/>
        <v>0.2</v>
      </c>
      <c r="O53" t="s">
        <v>35</v>
      </c>
      <c r="P53" t="s">
        <v>21</v>
      </c>
      <c r="Q53" t="s">
        <v>30</v>
      </c>
      <c r="R53" s="7" t="str">
        <f t="shared" si="3"/>
        <v>Oct</v>
      </c>
    </row>
    <row r="54" spans="1:18">
      <c r="A54" t="s">
        <v>155</v>
      </c>
      <c r="B54" s="6" t="s">
        <v>156</v>
      </c>
      <c r="C54" t="s">
        <v>17</v>
      </c>
      <c r="D54" t="s">
        <v>44</v>
      </c>
      <c r="E54" t="s">
        <v>19</v>
      </c>
      <c r="F54" t="s">
        <v>85</v>
      </c>
      <c r="G54">
        <v>8</v>
      </c>
      <c r="H54">
        <v>35000</v>
      </c>
      <c r="I54">
        <v>20</v>
      </c>
      <c r="J54">
        <v>224000</v>
      </c>
      <c r="K54">
        <v>26000</v>
      </c>
      <c r="L54">
        <v>208000</v>
      </c>
      <c r="M54">
        <v>16000</v>
      </c>
      <c r="N54" s="5">
        <f t="shared" si="2"/>
        <v>7.1428571428571397E-2</v>
      </c>
      <c r="O54" t="s">
        <v>35</v>
      </c>
      <c r="P54" t="s">
        <v>46</v>
      </c>
      <c r="Q54" t="s">
        <v>30</v>
      </c>
      <c r="R54" s="7" t="str">
        <f t="shared" si="3"/>
        <v>Aug</v>
      </c>
    </row>
    <row r="55" spans="1:18">
      <c r="A55" t="s">
        <v>157</v>
      </c>
      <c r="B55" s="6" t="s">
        <v>158</v>
      </c>
      <c r="C55" t="s">
        <v>99</v>
      </c>
      <c r="D55" t="s">
        <v>74</v>
      </c>
      <c r="E55" t="s">
        <v>19</v>
      </c>
      <c r="F55" t="s">
        <v>50</v>
      </c>
      <c r="G55">
        <v>13</v>
      </c>
      <c r="H55">
        <v>15000</v>
      </c>
      <c r="I55">
        <v>5</v>
      </c>
      <c r="J55">
        <v>185250</v>
      </c>
      <c r="K55">
        <v>10000</v>
      </c>
      <c r="L55">
        <v>130000</v>
      </c>
      <c r="M55">
        <v>55250</v>
      </c>
      <c r="N55" s="5">
        <f t="shared" si="2"/>
        <v>0.29824561403508798</v>
      </c>
      <c r="O55" t="s">
        <v>28</v>
      </c>
      <c r="P55" t="s">
        <v>55</v>
      </c>
      <c r="Q55" t="s">
        <v>30</v>
      </c>
      <c r="R55" s="7" t="str">
        <f t="shared" si="3"/>
        <v>Feb</v>
      </c>
    </row>
    <row r="56" spans="1:18">
      <c r="A56" t="s">
        <v>159</v>
      </c>
      <c r="B56" s="6" t="s">
        <v>160</v>
      </c>
      <c r="C56" t="s">
        <v>25</v>
      </c>
      <c r="D56" t="s">
        <v>26</v>
      </c>
      <c r="E56" t="s">
        <v>19</v>
      </c>
      <c r="F56" t="s">
        <v>85</v>
      </c>
      <c r="G56">
        <v>7</v>
      </c>
      <c r="H56">
        <v>35000</v>
      </c>
      <c r="I56">
        <v>20</v>
      </c>
      <c r="J56">
        <v>196000</v>
      </c>
      <c r="K56">
        <v>26000</v>
      </c>
      <c r="L56">
        <v>182000</v>
      </c>
      <c r="M56">
        <v>14000</v>
      </c>
      <c r="N56" s="5">
        <f t="shared" si="2"/>
        <v>7.1428571428571397E-2</v>
      </c>
      <c r="O56" t="s">
        <v>35</v>
      </c>
      <c r="P56" t="s">
        <v>36</v>
      </c>
      <c r="Q56" t="s">
        <v>30</v>
      </c>
      <c r="R56" s="7" t="str">
        <f t="shared" si="3"/>
        <v>Nov</v>
      </c>
    </row>
    <row r="57" spans="1:18">
      <c r="A57" t="s">
        <v>161</v>
      </c>
      <c r="B57" s="6" t="s">
        <v>110</v>
      </c>
      <c r="C57" t="s">
        <v>99</v>
      </c>
      <c r="D57" t="s">
        <v>100</v>
      </c>
      <c r="E57" t="s">
        <v>19</v>
      </c>
      <c r="F57" t="s">
        <v>50</v>
      </c>
      <c r="G57">
        <v>3</v>
      </c>
      <c r="H57">
        <v>15000</v>
      </c>
      <c r="I57">
        <v>0</v>
      </c>
      <c r="J57">
        <v>45000</v>
      </c>
      <c r="K57">
        <v>10000</v>
      </c>
      <c r="L57">
        <v>30000</v>
      </c>
      <c r="M57">
        <v>15000</v>
      </c>
      <c r="N57" s="5">
        <f t="shared" si="2"/>
        <v>0.33333333333333298</v>
      </c>
      <c r="O57" t="s">
        <v>28</v>
      </c>
      <c r="P57" t="s">
        <v>55</v>
      </c>
      <c r="Q57" t="s">
        <v>30</v>
      </c>
      <c r="R57" s="7" t="str">
        <f t="shared" si="3"/>
        <v>Mar</v>
      </c>
    </row>
    <row r="58" spans="1:18">
      <c r="A58" t="s">
        <v>162</v>
      </c>
      <c r="B58" s="6" t="s">
        <v>163</v>
      </c>
      <c r="C58" t="s">
        <v>59</v>
      </c>
      <c r="D58" t="s">
        <v>80</v>
      </c>
      <c r="E58" t="s">
        <v>19</v>
      </c>
      <c r="F58" t="s">
        <v>50</v>
      </c>
      <c r="G58">
        <v>14</v>
      </c>
      <c r="H58">
        <v>15000</v>
      </c>
      <c r="I58">
        <v>5</v>
      </c>
      <c r="J58">
        <v>199500</v>
      </c>
      <c r="K58">
        <v>10000</v>
      </c>
      <c r="L58">
        <v>140000</v>
      </c>
      <c r="M58">
        <v>59500</v>
      </c>
      <c r="N58" s="5">
        <f t="shared" si="2"/>
        <v>0.29824561403508798</v>
      </c>
      <c r="O58" t="s">
        <v>28</v>
      </c>
      <c r="P58" t="s">
        <v>55</v>
      </c>
      <c r="Q58" t="s">
        <v>30</v>
      </c>
      <c r="R58" s="7" t="str">
        <f t="shared" si="3"/>
        <v>Jul</v>
      </c>
    </row>
    <row r="59" spans="1:18">
      <c r="A59" t="s">
        <v>164</v>
      </c>
      <c r="B59" s="6" t="s">
        <v>165</v>
      </c>
      <c r="C59" t="s">
        <v>39</v>
      </c>
      <c r="D59" t="s">
        <v>18</v>
      </c>
      <c r="E59" t="s">
        <v>19</v>
      </c>
      <c r="F59" t="s">
        <v>27</v>
      </c>
      <c r="G59">
        <v>10</v>
      </c>
      <c r="H59">
        <v>5000</v>
      </c>
      <c r="I59">
        <v>10</v>
      </c>
      <c r="J59">
        <v>45000</v>
      </c>
      <c r="K59">
        <v>3000</v>
      </c>
      <c r="L59">
        <v>30000</v>
      </c>
      <c r="M59">
        <v>15000</v>
      </c>
      <c r="N59" s="5">
        <f t="shared" si="2"/>
        <v>0.33333333333333298</v>
      </c>
      <c r="O59" t="s">
        <v>28</v>
      </c>
      <c r="P59" t="s">
        <v>29</v>
      </c>
      <c r="Q59" t="s">
        <v>30</v>
      </c>
      <c r="R59" s="7" t="str">
        <f t="shared" si="3"/>
        <v>Sep</v>
      </c>
    </row>
    <row r="60" spans="1:18">
      <c r="A60" t="s">
        <v>166</v>
      </c>
      <c r="B60" s="6" t="s">
        <v>63</v>
      </c>
      <c r="C60" t="s">
        <v>39</v>
      </c>
      <c r="D60" t="s">
        <v>74</v>
      </c>
      <c r="E60" t="s">
        <v>19</v>
      </c>
      <c r="F60" t="s">
        <v>27</v>
      </c>
      <c r="G60">
        <v>10</v>
      </c>
      <c r="H60">
        <v>5000</v>
      </c>
      <c r="I60">
        <v>0</v>
      </c>
      <c r="J60">
        <v>50000</v>
      </c>
      <c r="K60">
        <v>3000</v>
      </c>
      <c r="L60">
        <v>30000</v>
      </c>
      <c r="M60">
        <v>20000</v>
      </c>
      <c r="N60" s="5">
        <f t="shared" si="2"/>
        <v>0.4</v>
      </c>
      <c r="O60" t="s">
        <v>35</v>
      </c>
      <c r="P60" t="s">
        <v>21</v>
      </c>
      <c r="Q60" t="s">
        <v>138</v>
      </c>
      <c r="R60" s="7" t="str">
        <f t="shared" si="3"/>
        <v>Dec</v>
      </c>
    </row>
    <row r="61" spans="1:18">
      <c r="A61" t="s">
        <v>167</v>
      </c>
      <c r="B61" s="6" t="s">
        <v>168</v>
      </c>
      <c r="C61" t="s">
        <v>53</v>
      </c>
      <c r="D61" t="s">
        <v>100</v>
      </c>
      <c r="E61" t="s">
        <v>19</v>
      </c>
      <c r="F61" t="s">
        <v>45</v>
      </c>
      <c r="G61">
        <v>10</v>
      </c>
      <c r="H61">
        <v>85000</v>
      </c>
      <c r="I61">
        <v>25</v>
      </c>
      <c r="J61">
        <v>637500</v>
      </c>
      <c r="K61">
        <v>65000</v>
      </c>
      <c r="L61">
        <v>650000</v>
      </c>
      <c r="M61">
        <v>-12500</v>
      </c>
      <c r="N61" s="5">
        <f t="shared" si="2"/>
        <v>-1.9607843137254902E-2</v>
      </c>
      <c r="O61" t="s">
        <v>35</v>
      </c>
      <c r="P61" t="s">
        <v>55</v>
      </c>
      <c r="Q61" t="s">
        <v>56</v>
      </c>
      <c r="R61" s="7" t="str">
        <f t="shared" si="3"/>
        <v>Aug</v>
      </c>
    </row>
    <row r="62" spans="1:18">
      <c r="A62" t="s">
        <v>169</v>
      </c>
      <c r="B62" s="6" t="s">
        <v>152</v>
      </c>
      <c r="C62" t="s">
        <v>17</v>
      </c>
      <c r="D62" t="s">
        <v>44</v>
      </c>
      <c r="E62" t="s">
        <v>19</v>
      </c>
      <c r="F62" t="s">
        <v>45</v>
      </c>
      <c r="G62">
        <v>5</v>
      </c>
      <c r="H62">
        <v>85000</v>
      </c>
      <c r="I62">
        <v>5</v>
      </c>
      <c r="J62">
        <v>403750</v>
      </c>
      <c r="K62">
        <v>65000</v>
      </c>
      <c r="L62">
        <v>325000</v>
      </c>
      <c r="M62">
        <v>78750</v>
      </c>
      <c r="N62" s="5">
        <f t="shared" si="2"/>
        <v>0.195046439628483</v>
      </c>
      <c r="O62" t="s">
        <v>28</v>
      </c>
      <c r="P62" t="s">
        <v>41</v>
      </c>
      <c r="Q62" t="s">
        <v>22</v>
      </c>
      <c r="R62" s="7" t="str">
        <f t="shared" si="3"/>
        <v>Mar</v>
      </c>
    </row>
    <row r="63" spans="1:18">
      <c r="A63" t="s">
        <v>170</v>
      </c>
      <c r="B63" s="6" t="s">
        <v>171</v>
      </c>
      <c r="C63" t="s">
        <v>17</v>
      </c>
      <c r="D63" t="s">
        <v>26</v>
      </c>
      <c r="E63" t="s">
        <v>19</v>
      </c>
      <c r="F63" t="s">
        <v>20</v>
      </c>
      <c r="G63">
        <v>3</v>
      </c>
      <c r="H63">
        <v>25000</v>
      </c>
      <c r="I63">
        <v>5</v>
      </c>
      <c r="J63">
        <v>71250</v>
      </c>
      <c r="K63">
        <v>18000</v>
      </c>
      <c r="L63">
        <v>54000</v>
      </c>
      <c r="M63">
        <v>17250</v>
      </c>
      <c r="N63" s="5">
        <f t="shared" si="2"/>
        <v>0.24210526315789499</v>
      </c>
      <c r="O63" t="s">
        <v>28</v>
      </c>
      <c r="P63" t="s">
        <v>55</v>
      </c>
      <c r="Q63" t="s">
        <v>30</v>
      </c>
      <c r="R63" s="7" t="str">
        <f t="shared" si="3"/>
        <v>Nov</v>
      </c>
    </row>
    <row r="64" spans="1:18">
      <c r="A64" t="s">
        <v>172</v>
      </c>
      <c r="B64" s="6" t="s">
        <v>173</v>
      </c>
      <c r="C64" t="s">
        <v>25</v>
      </c>
      <c r="D64" t="s">
        <v>40</v>
      </c>
      <c r="E64" t="s">
        <v>19</v>
      </c>
      <c r="F64" t="s">
        <v>85</v>
      </c>
      <c r="G64">
        <v>2</v>
      </c>
      <c r="H64">
        <v>35000</v>
      </c>
      <c r="I64">
        <v>15</v>
      </c>
      <c r="J64">
        <v>59500</v>
      </c>
      <c r="K64">
        <v>26000</v>
      </c>
      <c r="L64">
        <v>52000</v>
      </c>
      <c r="M64">
        <v>7500</v>
      </c>
      <c r="N64" s="5">
        <f t="shared" si="2"/>
        <v>0.126050420168067</v>
      </c>
      <c r="O64" t="s">
        <v>28</v>
      </c>
      <c r="P64" t="s">
        <v>21</v>
      </c>
      <c r="Q64" t="s">
        <v>138</v>
      </c>
      <c r="R64" s="7" t="str">
        <f t="shared" si="3"/>
        <v>Jun</v>
      </c>
    </row>
    <row r="65" spans="1:18">
      <c r="A65" t="s">
        <v>174</v>
      </c>
      <c r="B65" s="6" t="s">
        <v>175</v>
      </c>
      <c r="C65" t="s">
        <v>17</v>
      </c>
      <c r="D65" t="s">
        <v>74</v>
      </c>
      <c r="E65" t="s">
        <v>19</v>
      </c>
      <c r="F65" t="s">
        <v>85</v>
      </c>
      <c r="G65">
        <v>13</v>
      </c>
      <c r="H65">
        <v>35000</v>
      </c>
      <c r="I65">
        <v>20</v>
      </c>
      <c r="J65">
        <v>364000</v>
      </c>
      <c r="K65">
        <v>26000</v>
      </c>
      <c r="L65">
        <v>338000</v>
      </c>
      <c r="M65">
        <v>26000</v>
      </c>
      <c r="N65" s="5">
        <f t="shared" si="2"/>
        <v>7.1428571428571397E-2</v>
      </c>
      <c r="O65" t="s">
        <v>35</v>
      </c>
      <c r="P65" t="s">
        <v>41</v>
      </c>
      <c r="Q65" t="s">
        <v>30</v>
      </c>
      <c r="R65" s="7" t="str">
        <f t="shared" si="3"/>
        <v>Mar</v>
      </c>
    </row>
    <row r="66" spans="1:18">
      <c r="A66" t="s">
        <v>176</v>
      </c>
      <c r="B66" s="6" t="s">
        <v>177</v>
      </c>
      <c r="C66" t="s">
        <v>59</v>
      </c>
      <c r="D66" t="s">
        <v>74</v>
      </c>
      <c r="E66" t="s">
        <v>19</v>
      </c>
      <c r="F66" t="s">
        <v>45</v>
      </c>
      <c r="G66">
        <v>12</v>
      </c>
      <c r="H66">
        <v>85000</v>
      </c>
      <c r="I66">
        <v>10</v>
      </c>
      <c r="J66">
        <v>918000</v>
      </c>
      <c r="K66">
        <v>65000</v>
      </c>
      <c r="L66">
        <v>780000</v>
      </c>
      <c r="M66">
        <v>138000</v>
      </c>
      <c r="N66" s="5">
        <f t="shared" ref="N66:N90" si="4">M66/J66</f>
        <v>0.15032679738562099</v>
      </c>
      <c r="O66" t="s">
        <v>35</v>
      </c>
      <c r="P66" t="s">
        <v>36</v>
      </c>
      <c r="Q66" t="s">
        <v>56</v>
      </c>
      <c r="R66" s="7" t="str">
        <f t="shared" ref="R66:R90" si="5">TEXT(B66,"MMM")</f>
        <v>Sep</v>
      </c>
    </row>
    <row r="67" spans="1:18">
      <c r="A67" t="s">
        <v>178</v>
      </c>
      <c r="B67" s="6" t="s">
        <v>179</v>
      </c>
      <c r="C67" t="s">
        <v>69</v>
      </c>
      <c r="D67" t="s">
        <v>34</v>
      </c>
      <c r="E67" t="s">
        <v>19</v>
      </c>
      <c r="F67" t="s">
        <v>85</v>
      </c>
      <c r="G67">
        <v>7</v>
      </c>
      <c r="H67">
        <v>35000</v>
      </c>
      <c r="I67">
        <v>5</v>
      </c>
      <c r="J67">
        <v>232750</v>
      </c>
      <c r="K67">
        <v>26000</v>
      </c>
      <c r="L67">
        <v>182000</v>
      </c>
      <c r="M67">
        <v>50750</v>
      </c>
      <c r="N67" s="5">
        <f t="shared" si="4"/>
        <v>0.21804511278195499</v>
      </c>
      <c r="O67" t="s">
        <v>35</v>
      </c>
      <c r="P67" t="s">
        <v>41</v>
      </c>
      <c r="Q67" t="s">
        <v>30</v>
      </c>
      <c r="R67" s="7" t="str">
        <f t="shared" si="5"/>
        <v>Feb</v>
      </c>
    </row>
    <row r="68" spans="1:18">
      <c r="A68" t="s">
        <v>180</v>
      </c>
      <c r="B68" s="6" t="s">
        <v>181</v>
      </c>
      <c r="C68" t="s">
        <v>33</v>
      </c>
      <c r="D68" t="s">
        <v>18</v>
      </c>
      <c r="E68" t="s">
        <v>19</v>
      </c>
      <c r="F68" t="s">
        <v>27</v>
      </c>
      <c r="G68">
        <v>19</v>
      </c>
      <c r="H68">
        <v>5000</v>
      </c>
      <c r="I68">
        <v>25</v>
      </c>
      <c r="J68">
        <v>71250</v>
      </c>
      <c r="K68">
        <v>3000</v>
      </c>
      <c r="L68">
        <v>57000</v>
      </c>
      <c r="M68">
        <v>14250</v>
      </c>
      <c r="N68" s="5">
        <f t="shared" si="4"/>
        <v>0.2</v>
      </c>
      <c r="O68" t="s">
        <v>35</v>
      </c>
      <c r="P68" t="s">
        <v>55</v>
      </c>
      <c r="Q68" t="s">
        <v>30</v>
      </c>
      <c r="R68" s="7" t="str">
        <f t="shared" si="5"/>
        <v>Jun</v>
      </c>
    </row>
    <row r="69" spans="1:18">
      <c r="A69" t="s">
        <v>182</v>
      </c>
      <c r="B69" s="6" t="s">
        <v>183</v>
      </c>
      <c r="C69" t="s">
        <v>49</v>
      </c>
      <c r="D69" t="s">
        <v>100</v>
      </c>
      <c r="E69" t="s">
        <v>19</v>
      </c>
      <c r="F69" t="s">
        <v>45</v>
      </c>
      <c r="G69">
        <v>6</v>
      </c>
      <c r="H69">
        <v>85000</v>
      </c>
      <c r="I69">
        <v>25</v>
      </c>
      <c r="J69">
        <v>382500</v>
      </c>
      <c r="K69">
        <v>65000</v>
      </c>
      <c r="L69">
        <v>390000</v>
      </c>
      <c r="M69">
        <v>-7500</v>
      </c>
      <c r="N69" s="5">
        <f t="shared" si="4"/>
        <v>-1.9607843137254902E-2</v>
      </c>
      <c r="O69" t="s">
        <v>28</v>
      </c>
      <c r="P69" t="s">
        <v>29</v>
      </c>
      <c r="Q69" t="s">
        <v>30</v>
      </c>
      <c r="R69" s="7" t="str">
        <f t="shared" si="5"/>
        <v>Sep</v>
      </c>
    </row>
    <row r="70" spans="1:18">
      <c r="A70" t="s">
        <v>184</v>
      </c>
      <c r="B70" s="6" t="s">
        <v>185</v>
      </c>
      <c r="C70" t="s">
        <v>25</v>
      </c>
      <c r="D70" t="s">
        <v>100</v>
      </c>
      <c r="E70" t="s">
        <v>19</v>
      </c>
      <c r="F70" t="s">
        <v>50</v>
      </c>
      <c r="G70">
        <v>4</v>
      </c>
      <c r="H70">
        <v>15000</v>
      </c>
      <c r="I70">
        <v>10</v>
      </c>
      <c r="J70">
        <v>54000</v>
      </c>
      <c r="K70">
        <v>10000</v>
      </c>
      <c r="L70">
        <v>40000</v>
      </c>
      <c r="M70">
        <v>14000</v>
      </c>
      <c r="N70" s="5">
        <f t="shared" si="4"/>
        <v>0.25925925925925902</v>
      </c>
      <c r="O70" t="s">
        <v>28</v>
      </c>
      <c r="P70" t="s">
        <v>46</v>
      </c>
      <c r="Q70" t="s">
        <v>30</v>
      </c>
      <c r="R70" s="7" t="str">
        <f t="shared" si="5"/>
        <v>Mar</v>
      </c>
    </row>
    <row r="71" spans="1:18">
      <c r="A71" t="s">
        <v>186</v>
      </c>
      <c r="B71" s="6" t="s">
        <v>187</v>
      </c>
      <c r="C71" t="s">
        <v>99</v>
      </c>
      <c r="D71" t="s">
        <v>34</v>
      </c>
      <c r="E71" t="s">
        <v>19</v>
      </c>
      <c r="F71" t="s">
        <v>45</v>
      </c>
      <c r="G71">
        <v>9</v>
      </c>
      <c r="H71">
        <v>85000</v>
      </c>
      <c r="I71">
        <v>15</v>
      </c>
      <c r="J71">
        <v>650250</v>
      </c>
      <c r="K71">
        <v>65000</v>
      </c>
      <c r="L71">
        <v>585000</v>
      </c>
      <c r="M71">
        <v>65250</v>
      </c>
      <c r="N71" s="5">
        <f t="shared" si="4"/>
        <v>0.100346020761246</v>
      </c>
      <c r="O71" t="s">
        <v>35</v>
      </c>
      <c r="P71" t="s">
        <v>21</v>
      </c>
      <c r="Q71" t="s">
        <v>22</v>
      </c>
      <c r="R71" s="7" t="str">
        <f t="shared" si="5"/>
        <v>Dec</v>
      </c>
    </row>
    <row r="72" spans="1:18">
      <c r="A72" t="s">
        <v>188</v>
      </c>
      <c r="B72" s="6" t="s">
        <v>189</v>
      </c>
      <c r="C72" t="s">
        <v>99</v>
      </c>
      <c r="D72" t="s">
        <v>74</v>
      </c>
      <c r="E72" t="s">
        <v>19</v>
      </c>
      <c r="F72" t="s">
        <v>50</v>
      </c>
      <c r="G72">
        <v>6</v>
      </c>
      <c r="H72">
        <v>15000</v>
      </c>
      <c r="I72">
        <v>0</v>
      </c>
      <c r="J72">
        <v>90000</v>
      </c>
      <c r="K72">
        <v>10000</v>
      </c>
      <c r="L72">
        <v>60000</v>
      </c>
      <c r="M72">
        <v>30000</v>
      </c>
      <c r="N72" s="5">
        <f t="shared" si="4"/>
        <v>0.33333333333333298</v>
      </c>
      <c r="O72" t="s">
        <v>28</v>
      </c>
      <c r="P72" t="s">
        <v>36</v>
      </c>
      <c r="Q72" t="s">
        <v>30</v>
      </c>
      <c r="R72" s="7" t="str">
        <f t="shared" si="5"/>
        <v>Jul</v>
      </c>
    </row>
    <row r="73" spans="1:18">
      <c r="A73" t="s">
        <v>190</v>
      </c>
      <c r="B73" s="6" t="s">
        <v>191</v>
      </c>
      <c r="C73" t="s">
        <v>17</v>
      </c>
      <c r="D73" t="s">
        <v>26</v>
      </c>
      <c r="E73" t="s">
        <v>19</v>
      </c>
      <c r="F73" t="s">
        <v>27</v>
      </c>
      <c r="G73">
        <v>2</v>
      </c>
      <c r="H73">
        <v>5000</v>
      </c>
      <c r="I73">
        <v>5</v>
      </c>
      <c r="J73">
        <v>9500</v>
      </c>
      <c r="K73">
        <v>3000</v>
      </c>
      <c r="L73">
        <v>6000</v>
      </c>
      <c r="M73">
        <v>3500</v>
      </c>
      <c r="N73" s="5">
        <f t="shared" si="4"/>
        <v>0.36842105263157898</v>
      </c>
      <c r="O73" t="s">
        <v>35</v>
      </c>
      <c r="P73" t="s">
        <v>55</v>
      </c>
      <c r="Q73" t="s">
        <v>22</v>
      </c>
      <c r="R73" s="7" t="str">
        <f t="shared" si="5"/>
        <v>May</v>
      </c>
    </row>
    <row r="74" spans="1:18">
      <c r="A74" t="s">
        <v>192</v>
      </c>
      <c r="B74" s="6" t="s">
        <v>193</v>
      </c>
      <c r="C74" t="s">
        <v>99</v>
      </c>
      <c r="D74" t="s">
        <v>18</v>
      </c>
      <c r="E74" t="s">
        <v>19</v>
      </c>
      <c r="F74" t="s">
        <v>20</v>
      </c>
      <c r="G74">
        <v>18</v>
      </c>
      <c r="H74">
        <v>25000</v>
      </c>
      <c r="I74">
        <v>5</v>
      </c>
      <c r="J74">
        <v>427500</v>
      </c>
      <c r="K74">
        <v>18000</v>
      </c>
      <c r="L74">
        <v>324000</v>
      </c>
      <c r="M74">
        <v>103500</v>
      </c>
      <c r="N74" s="5">
        <f t="shared" si="4"/>
        <v>0.24210526315789499</v>
      </c>
      <c r="O74" t="s">
        <v>28</v>
      </c>
      <c r="P74" t="s">
        <v>29</v>
      </c>
      <c r="Q74" t="s">
        <v>56</v>
      </c>
      <c r="R74" s="7" t="str">
        <f t="shared" si="5"/>
        <v>Aug</v>
      </c>
    </row>
    <row r="75" spans="1:18">
      <c r="A75" t="s">
        <v>194</v>
      </c>
      <c r="B75" s="6" t="s">
        <v>131</v>
      </c>
      <c r="C75" t="s">
        <v>49</v>
      </c>
      <c r="D75" t="s">
        <v>44</v>
      </c>
      <c r="E75" t="s">
        <v>19</v>
      </c>
      <c r="F75" t="s">
        <v>45</v>
      </c>
      <c r="G75">
        <v>8</v>
      </c>
      <c r="H75">
        <v>85000</v>
      </c>
      <c r="I75">
        <v>25</v>
      </c>
      <c r="J75">
        <v>510000</v>
      </c>
      <c r="K75">
        <v>65000</v>
      </c>
      <c r="L75">
        <v>520000</v>
      </c>
      <c r="M75">
        <v>-10000</v>
      </c>
      <c r="N75" s="5">
        <f t="shared" si="4"/>
        <v>-1.9607843137254902E-2</v>
      </c>
      <c r="O75" t="s">
        <v>28</v>
      </c>
      <c r="P75" t="s">
        <v>41</v>
      </c>
      <c r="Q75" t="s">
        <v>30</v>
      </c>
      <c r="R75" s="7" t="str">
        <f t="shared" si="5"/>
        <v>Sep</v>
      </c>
    </row>
    <row r="76" spans="1:18">
      <c r="A76" t="s">
        <v>195</v>
      </c>
      <c r="B76" s="6" t="s">
        <v>196</v>
      </c>
      <c r="C76" t="s">
        <v>17</v>
      </c>
      <c r="D76" t="s">
        <v>44</v>
      </c>
      <c r="E76" t="s">
        <v>19</v>
      </c>
      <c r="F76" t="s">
        <v>20</v>
      </c>
      <c r="G76">
        <v>14</v>
      </c>
      <c r="H76">
        <v>25000</v>
      </c>
      <c r="I76">
        <v>15</v>
      </c>
      <c r="J76">
        <v>297500</v>
      </c>
      <c r="K76">
        <v>18000</v>
      </c>
      <c r="L76">
        <v>252000</v>
      </c>
      <c r="M76">
        <v>45500</v>
      </c>
      <c r="N76" s="5">
        <f t="shared" si="4"/>
        <v>0.152941176470588</v>
      </c>
      <c r="O76" t="s">
        <v>28</v>
      </c>
      <c r="P76" t="s">
        <v>29</v>
      </c>
      <c r="Q76" t="s">
        <v>30</v>
      </c>
      <c r="R76" s="7" t="str">
        <f t="shared" si="5"/>
        <v>Dec</v>
      </c>
    </row>
    <row r="77" spans="1:18">
      <c r="A77" t="s">
        <v>197</v>
      </c>
      <c r="B77" s="6" t="s">
        <v>198</v>
      </c>
      <c r="C77" t="s">
        <v>59</v>
      </c>
      <c r="D77" t="s">
        <v>40</v>
      </c>
      <c r="E77" t="s">
        <v>19</v>
      </c>
      <c r="F77" t="s">
        <v>85</v>
      </c>
      <c r="G77">
        <v>14</v>
      </c>
      <c r="H77">
        <v>35000</v>
      </c>
      <c r="I77">
        <v>25</v>
      </c>
      <c r="J77">
        <v>367500</v>
      </c>
      <c r="K77">
        <v>26000</v>
      </c>
      <c r="L77">
        <v>364000</v>
      </c>
      <c r="M77">
        <v>3500</v>
      </c>
      <c r="N77" s="5">
        <f t="shared" si="4"/>
        <v>9.5238095238095195E-3</v>
      </c>
      <c r="O77" t="s">
        <v>35</v>
      </c>
      <c r="P77" t="s">
        <v>36</v>
      </c>
      <c r="Q77" t="s">
        <v>30</v>
      </c>
      <c r="R77" s="7" t="str">
        <f t="shared" si="5"/>
        <v>Aug</v>
      </c>
    </row>
    <row r="78" spans="1:18">
      <c r="A78" t="s">
        <v>199</v>
      </c>
      <c r="B78" s="6" t="s">
        <v>200</v>
      </c>
      <c r="C78" t="s">
        <v>17</v>
      </c>
      <c r="D78" t="s">
        <v>80</v>
      </c>
      <c r="E78" t="s">
        <v>19</v>
      </c>
      <c r="F78" t="s">
        <v>45</v>
      </c>
      <c r="G78">
        <v>4</v>
      </c>
      <c r="H78">
        <v>85000</v>
      </c>
      <c r="I78">
        <v>15</v>
      </c>
      <c r="J78">
        <v>289000</v>
      </c>
      <c r="K78">
        <v>65000</v>
      </c>
      <c r="L78">
        <v>260000</v>
      </c>
      <c r="M78">
        <v>29000</v>
      </c>
      <c r="N78" s="5">
        <f t="shared" si="4"/>
        <v>0.100346020761246</v>
      </c>
      <c r="O78" t="s">
        <v>28</v>
      </c>
      <c r="P78" t="s">
        <v>21</v>
      </c>
      <c r="Q78" t="s">
        <v>22</v>
      </c>
      <c r="R78" s="7" t="str">
        <f t="shared" si="5"/>
        <v>Mar</v>
      </c>
    </row>
    <row r="79" spans="1:18">
      <c r="A79" t="s">
        <v>201</v>
      </c>
      <c r="B79" s="6" t="s">
        <v>202</v>
      </c>
      <c r="C79" t="s">
        <v>66</v>
      </c>
      <c r="D79" t="s">
        <v>34</v>
      </c>
      <c r="E79" t="s">
        <v>19</v>
      </c>
      <c r="F79" t="s">
        <v>20</v>
      </c>
      <c r="G79">
        <v>9</v>
      </c>
      <c r="H79">
        <v>25000</v>
      </c>
      <c r="I79">
        <v>25</v>
      </c>
      <c r="J79">
        <v>168750</v>
      </c>
      <c r="K79">
        <v>18000</v>
      </c>
      <c r="L79">
        <v>162000</v>
      </c>
      <c r="M79">
        <v>6750</v>
      </c>
      <c r="N79" s="5">
        <f t="shared" si="4"/>
        <v>0.04</v>
      </c>
      <c r="O79" t="s">
        <v>28</v>
      </c>
      <c r="P79" t="s">
        <v>29</v>
      </c>
      <c r="Q79" t="s">
        <v>22</v>
      </c>
      <c r="R79" s="7" t="str">
        <f t="shared" si="5"/>
        <v>Feb</v>
      </c>
    </row>
    <row r="80" spans="1:18">
      <c r="A80" t="s">
        <v>203</v>
      </c>
      <c r="B80" s="6" t="s">
        <v>204</v>
      </c>
      <c r="C80" t="s">
        <v>66</v>
      </c>
      <c r="D80" t="s">
        <v>18</v>
      </c>
      <c r="E80" t="s">
        <v>19</v>
      </c>
      <c r="F80" t="s">
        <v>50</v>
      </c>
      <c r="G80">
        <v>18</v>
      </c>
      <c r="H80">
        <v>15000</v>
      </c>
      <c r="I80">
        <v>0</v>
      </c>
      <c r="J80">
        <v>270000</v>
      </c>
      <c r="K80">
        <v>10000</v>
      </c>
      <c r="L80">
        <v>180000</v>
      </c>
      <c r="M80">
        <v>90000</v>
      </c>
      <c r="N80" s="5">
        <f t="shared" si="4"/>
        <v>0.33333333333333298</v>
      </c>
      <c r="O80" t="s">
        <v>35</v>
      </c>
      <c r="P80" t="s">
        <v>21</v>
      </c>
      <c r="Q80" t="s">
        <v>81</v>
      </c>
      <c r="R80" s="7" t="str">
        <f t="shared" si="5"/>
        <v>Feb</v>
      </c>
    </row>
    <row r="81" spans="1:18">
      <c r="A81" t="s">
        <v>205</v>
      </c>
      <c r="B81" s="6" t="s">
        <v>206</v>
      </c>
      <c r="C81" t="s">
        <v>53</v>
      </c>
      <c r="D81" t="s">
        <v>74</v>
      </c>
      <c r="E81" t="s">
        <v>19</v>
      </c>
      <c r="F81" t="s">
        <v>20</v>
      </c>
      <c r="G81">
        <v>6</v>
      </c>
      <c r="H81">
        <v>25000</v>
      </c>
      <c r="I81">
        <v>15</v>
      </c>
      <c r="J81">
        <v>127500</v>
      </c>
      <c r="K81">
        <v>18000</v>
      </c>
      <c r="L81">
        <v>108000</v>
      </c>
      <c r="M81">
        <v>19500</v>
      </c>
      <c r="N81" s="5">
        <f t="shared" si="4"/>
        <v>0.152941176470588</v>
      </c>
      <c r="O81" t="s">
        <v>35</v>
      </c>
      <c r="P81" t="s">
        <v>36</v>
      </c>
      <c r="Q81" t="s">
        <v>22</v>
      </c>
      <c r="R81" s="7" t="str">
        <f t="shared" si="5"/>
        <v>Nov</v>
      </c>
    </row>
    <row r="82" spans="1:18">
      <c r="A82" t="s">
        <v>207</v>
      </c>
      <c r="B82" s="6" t="s">
        <v>208</v>
      </c>
      <c r="C82" t="s">
        <v>59</v>
      </c>
      <c r="D82" t="s">
        <v>34</v>
      </c>
      <c r="E82" t="s">
        <v>19</v>
      </c>
      <c r="F82" t="s">
        <v>50</v>
      </c>
      <c r="G82">
        <v>2</v>
      </c>
      <c r="H82">
        <v>15000</v>
      </c>
      <c r="I82">
        <v>20</v>
      </c>
      <c r="J82">
        <v>24000</v>
      </c>
      <c r="K82">
        <v>10000</v>
      </c>
      <c r="L82">
        <v>20000</v>
      </c>
      <c r="M82">
        <v>4000</v>
      </c>
      <c r="N82" s="5">
        <f t="shared" si="4"/>
        <v>0.16666666666666699</v>
      </c>
      <c r="O82" t="s">
        <v>28</v>
      </c>
      <c r="P82" t="s">
        <v>21</v>
      </c>
      <c r="Q82" t="s">
        <v>30</v>
      </c>
      <c r="R82" s="7" t="str">
        <f t="shared" si="5"/>
        <v>Sep</v>
      </c>
    </row>
    <row r="83" spans="1:18">
      <c r="A83" t="s">
        <v>209</v>
      </c>
      <c r="B83" s="6" t="s">
        <v>120</v>
      </c>
      <c r="C83" t="s">
        <v>33</v>
      </c>
      <c r="D83" t="s">
        <v>18</v>
      </c>
      <c r="E83" t="s">
        <v>19</v>
      </c>
      <c r="F83" t="s">
        <v>85</v>
      </c>
      <c r="G83">
        <v>8</v>
      </c>
      <c r="H83">
        <v>35000</v>
      </c>
      <c r="I83">
        <v>5</v>
      </c>
      <c r="J83">
        <v>266000</v>
      </c>
      <c r="K83">
        <v>26000</v>
      </c>
      <c r="L83">
        <v>208000</v>
      </c>
      <c r="M83">
        <v>58000</v>
      </c>
      <c r="N83" s="5">
        <f t="shared" si="4"/>
        <v>0.21804511278195499</v>
      </c>
      <c r="O83" t="s">
        <v>28</v>
      </c>
      <c r="P83" t="s">
        <v>41</v>
      </c>
      <c r="Q83" t="s">
        <v>30</v>
      </c>
      <c r="R83" s="7" t="str">
        <f t="shared" si="5"/>
        <v>Oct</v>
      </c>
    </row>
    <row r="84" spans="1:18">
      <c r="A84" t="s">
        <v>210</v>
      </c>
      <c r="B84" s="6" t="s">
        <v>211</v>
      </c>
      <c r="C84" t="s">
        <v>25</v>
      </c>
      <c r="D84" t="s">
        <v>40</v>
      </c>
      <c r="E84" t="s">
        <v>19</v>
      </c>
      <c r="F84" t="s">
        <v>85</v>
      </c>
      <c r="G84">
        <v>13</v>
      </c>
      <c r="H84">
        <v>35000</v>
      </c>
      <c r="I84">
        <v>0</v>
      </c>
      <c r="J84">
        <v>455000</v>
      </c>
      <c r="K84">
        <v>26000</v>
      </c>
      <c r="L84">
        <v>338000</v>
      </c>
      <c r="M84">
        <v>117000</v>
      </c>
      <c r="N84" s="5">
        <f t="shared" si="4"/>
        <v>0.25714285714285701</v>
      </c>
      <c r="O84" t="s">
        <v>28</v>
      </c>
      <c r="P84" t="s">
        <v>41</v>
      </c>
      <c r="Q84" t="s">
        <v>30</v>
      </c>
      <c r="R84" s="7" t="str">
        <f t="shared" si="5"/>
        <v>Nov</v>
      </c>
    </row>
    <row r="85" spans="1:18">
      <c r="A85" t="s">
        <v>212</v>
      </c>
      <c r="B85" s="6" t="s">
        <v>213</v>
      </c>
      <c r="C85" t="s">
        <v>69</v>
      </c>
      <c r="D85" t="s">
        <v>100</v>
      </c>
      <c r="E85" t="s">
        <v>19</v>
      </c>
      <c r="F85" t="s">
        <v>45</v>
      </c>
      <c r="G85">
        <v>18</v>
      </c>
      <c r="H85">
        <v>85000</v>
      </c>
      <c r="I85">
        <v>20</v>
      </c>
      <c r="J85">
        <v>1224000</v>
      </c>
      <c r="K85">
        <v>65000</v>
      </c>
      <c r="L85">
        <v>1170000</v>
      </c>
      <c r="M85">
        <v>54000</v>
      </c>
      <c r="N85" s="5">
        <f t="shared" si="4"/>
        <v>4.4117647058823498E-2</v>
      </c>
      <c r="O85" t="s">
        <v>35</v>
      </c>
      <c r="P85" t="s">
        <v>36</v>
      </c>
      <c r="Q85" t="s">
        <v>30</v>
      </c>
      <c r="R85" s="7" t="str">
        <f t="shared" si="5"/>
        <v>Apr</v>
      </c>
    </row>
    <row r="86" spans="1:18">
      <c r="A86" t="s">
        <v>214</v>
      </c>
      <c r="B86" s="6" t="s">
        <v>215</v>
      </c>
      <c r="C86" t="s">
        <v>49</v>
      </c>
      <c r="D86" t="s">
        <v>18</v>
      </c>
      <c r="E86" t="s">
        <v>19</v>
      </c>
      <c r="F86" t="s">
        <v>45</v>
      </c>
      <c r="G86">
        <v>18</v>
      </c>
      <c r="H86">
        <v>85000</v>
      </c>
      <c r="I86">
        <v>25</v>
      </c>
      <c r="J86">
        <v>1147500</v>
      </c>
      <c r="K86">
        <v>65000</v>
      </c>
      <c r="L86">
        <v>1170000</v>
      </c>
      <c r="M86">
        <v>-22500</v>
      </c>
      <c r="N86" s="5">
        <f t="shared" si="4"/>
        <v>-1.9607843137254902E-2</v>
      </c>
      <c r="O86" t="s">
        <v>28</v>
      </c>
      <c r="P86" t="s">
        <v>36</v>
      </c>
      <c r="Q86" t="s">
        <v>56</v>
      </c>
      <c r="R86" s="7" t="str">
        <f t="shared" si="5"/>
        <v>Dec</v>
      </c>
    </row>
    <row r="87" spans="1:18">
      <c r="A87" t="s">
        <v>217</v>
      </c>
      <c r="B87" s="6" t="s">
        <v>218</v>
      </c>
      <c r="C87" t="s">
        <v>66</v>
      </c>
      <c r="D87" t="s">
        <v>18</v>
      </c>
      <c r="E87" t="s">
        <v>19</v>
      </c>
      <c r="F87" t="s">
        <v>27</v>
      </c>
      <c r="G87">
        <v>6</v>
      </c>
      <c r="H87">
        <v>5000</v>
      </c>
      <c r="I87">
        <v>20</v>
      </c>
      <c r="J87">
        <v>24000</v>
      </c>
      <c r="K87">
        <v>3000</v>
      </c>
      <c r="L87">
        <v>18000</v>
      </c>
      <c r="M87">
        <v>6000</v>
      </c>
      <c r="N87" s="5">
        <f t="shared" si="4"/>
        <v>0.25</v>
      </c>
      <c r="O87" t="s">
        <v>35</v>
      </c>
      <c r="P87" t="s">
        <v>55</v>
      </c>
      <c r="Q87" t="s">
        <v>22</v>
      </c>
      <c r="R87" s="7" t="str">
        <f t="shared" si="5"/>
        <v>Aug</v>
      </c>
    </row>
    <row r="88" spans="1:18">
      <c r="A88" t="s">
        <v>219</v>
      </c>
      <c r="B88" s="6" t="s">
        <v>220</v>
      </c>
      <c r="C88" t="s">
        <v>39</v>
      </c>
      <c r="D88" t="s">
        <v>26</v>
      </c>
      <c r="E88" t="s">
        <v>19</v>
      </c>
      <c r="F88" t="s">
        <v>45</v>
      </c>
      <c r="G88">
        <v>15</v>
      </c>
      <c r="H88">
        <v>85000</v>
      </c>
      <c r="I88">
        <v>20</v>
      </c>
      <c r="J88">
        <v>1020000</v>
      </c>
      <c r="K88">
        <v>65000</v>
      </c>
      <c r="L88">
        <v>975000</v>
      </c>
      <c r="M88">
        <v>45000</v>
      </c>
      <c r="N88" s="5">
        <f t="shared" si="4"/>
        <v>4.4117647058823498E-2</v>
      </c>
      <c r="O88" t="s">
        <v>28</v>
      </c>
      <c r="P88" t="s">
        <v>46</v>
      </c>
      <c r="Q88" t="s">
        <v>30</v>
      </c>
      <c r="R88" s="7" t="str">
        <f t="shared" si="5"/>
        <v>Nov</v>
      </c>
    </row>
    <row r="89" spans="1:18">
      <c r="A89" t="s">
        <v>222</v>
      </c>
      <c r="B89" s="6" t="s">
        <v>223</v>
      </c>
      <c r="C89" t="s">
        <v>53</v>
      </c>
      <c r="D89" t="s">
        <v>40</v>
      </c>
      <c r="E89" t="s">
        <v>19</v>
      </c>
      <c r="F89" t="s">
        <v>50</v>
      </c>
      <c r="G89">
        <v>17</v>
      </c>
      <c r="H89">
        <v>15000</v>
      </c>
      <c r="I89">
        <v>20</v>
      </c>
      <c r="J89">
        <v>204000</v>
      </c>
      <c r="K89">
        <v>10000</v>
      </c>
      <c r="L89">
        <v>170000</v>
      </c>
      <c r="M89">
        <v>34000</v>
      </c>
      <c r="N89" s="5">
        <f t="shared" si="4"/>
        <v>0.16666666666666699</v>
      </c>
      <c r="O89" t="s">
        <v>35</v>
      </c>
      <c r="P89" t="s">
        <v>21</v>
      </c>
      <c r="Q89" t="s">
        <v>30</v>
      </c>
      <c r="R89" s="7" t="str">
        <f t="shared" si="5"/>
        <v>Sep</v>
      </c>
    </row>
    <row r="90" spans="1:18">
      <c r="A90" t="s">
        <v>224</v>
      </c>
      <c r="B90" s="6" t="s">
        <v>225</v>
      </c>
      <c r="C90" t="s">
        <v>69</v>
      </c>
      <c r="D90" t="s">
        <v>40</v>
      </c>
      <c r="E90" t="s">
        <v>19</v>
      </c>
      <c r="F90" t="s">
        <v>45</v>
      </c>
      <c r="G90">
        <v>3</v>
      </c>
      <c r="H90">
        <v>85000</v>
      </c>
      <c r="I90">
        <v>10</v>
      </c>
      <c r="J90">
        <v>229500</v>
      </c>
      <c r="K90">
        <v>65000</v>
      </c>
      <c r="L90">
        <v>195000</v>
      </c>
      <c r="M90">
        <v>34500</v>
      </c>
      <c r="N90" s="5">
        <f t="shared" si="4"/>
        <v>0.15032679738562099</v>
      </c>
      <c r="O90" t="s">
        <v>28</v>
      </c>
      <c r="P90" t="s">
        <v>41</v>
      </c>
      <c r="Q90" t="s">
        <v>22</v>
      </c>
      <c r="R90" s="7" t="str">
        <f t="shared" si="5"/>
        <v>Jan</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93"/>
  <sheetViews>
    <sheetView topLeftCell="A11" zoomScale="81" zoomScaleNormal="81" workbookViewId="0">
      <selection activeCell="C48" sqref="C48"/>
    </sheetView>
  </sheetViews>
  <sheetFormatPr defaultColWidth="8.7265625" defaultRowHeight="14.5"/>
  <cols>
    <col min="1" max="1" width="14.36328125" customWidth="1"/>
    <col min="2" max="2" width="24.08984375" customWidth="1"/>
    <col min="3" max="3" width="19.81640625" customWidth="1"/>
    <col min="6" max="6" width="11.26953125" customWidth="1"/>
    <col min="8" max="8" width="16.7265625" customWidth="1"/>
    <col min="9" max="9" width="25.08984375" bestFit="1" customWidth="1"/>
    <col min="10" max="10" width="10.90625" customWidth="1"/>
    <col min="11" max="11" width="14" customWidth="1"/>
    <col min="12" max="12" width="25.08984375" customWidth="1"/>
  </cols>
  <sheetData>
    <row r="2" spans="1:2" ht="18.5">
      <c r="A2" s="17"/>
      <c r="B2" s="17"/>
    </row>
    <row r="15" spans="1:2">
      <c r="A15" s="18"/>
      <c r="B15" s="18"/>
    </row>
    <row r="17" spans="1:21">
      <c r="B17" s="3"/>
    </row>
    <row r="18" spans="1:21">
      <c r="B18" s="3"/>
    </row>
    <row r="19" spans="1:21">
      <c r="B19" s="3"/>
    </row>
    <row r="20" spans="1:21">
      <c r="B20" s="3"/>
    </row>
    <row r="21" spans="1:21">
      <c r="B21" s="3"/>
    </row>
    <row r="22" spans="1:21">
      <c r="B22" s="3"/>
      <c r="J22" s="10" t="s">
        <v>3</v>
      </c>
      <c r="K22" t="s">
        <v>228</v>
      </c>
    </row>
    <row r="23" spans="1:21">
      <c r="B23" s="3"/>
      <c r="E23">
        <f>GETPIVOTDATA("Total Revenue (PKR)",$A$31,"Month","Dec")</f>
        <v>3896000</v>
      </c>
      <c r="G23">
        <f>GETPIVOTDATA("Total Revenue (PKR)",$A$31,"Month","Jan")</f>
        <v>1320000</v>
      </c>
      <c r="J23" t="s">
        <v>100</v>
      </c>
      <c r="K23" s="7">
        <v>5986250</v>
      </c>
    </row>
    <row r="24" spans="1:21">
      <c r="B24" s="3"/>
      <c r="J24" t="s">
        <v>74</v>
      </c>
      <c r="K24" s="7">
        <v>4882500</v>
      </c>
    </row>
    <row r="25" spans="1:21">
      <c r="E25" t="s">
        <v>250</v>
      </c>
      <c r="F25" s="16">
        <f>(E23/G23)^(1/12)-1</f>
        <v>9.4385721323945848E-2</v>
      </c>
      <c r="H25">
        <f>(E23/G23)^(1/12)-1</f>
        <v>9.4385721323945848E-2</v>
      </c>
      <c r="J25" t="s">
        <v>44</v>
      </c>
      <c r="K25" s="7">
        <v>4551000</v>
      </c>
    </row>
    <row r="26" spans="1:21">
      <c r="J26" t="s">
        <v>80</v>
      </c>
      <c r="K26" s="7">
        <v>4516000</v>
      </c>
    </row>
    <row r="27" spans="1:21">
      <c r="J27" t="s">
        <v>34</v>
      </c>
      <c r="K27" s="7">
        <v>4098500</v>
      </c>
    </row>
    <row r="28" spans="1:21">
      <c r="E28">
        <f>GETPIVOTDATA("Total Revenue (PKR)",$A$31,"Month","Jan")</f>
        <v>1320000</v>
      </c>
      <c r="J28" t="s">
        <v>18</v>
      </c>
      <c r="K28" s="7">
        <v>3858500</v>
      </c>
    </row>
    <row r="29" spans="1:21">
      <c r="J29" t="s">
        <v>26</v>
      </c>
      <c r="K29" s="7">
        <v>2803250</v>
      </c>
    </row>
    <row r="30" spans="1:21">
      <c r="J30" t="s">
        <v>40</v>
      </c>
      <c r="K30" s="7">
        <v>2626000</v>
      </c>
    </row>
    <row r="31" spans="1:21">
      <c r="A31" s="10" t="s">
        <v>227</v>
      </c>
      <c r="B31" t="s">
        <v>228</v>
      </c>
      <c r="J31" t="s">
        <v>229</v>
      </c>
      <c r="K31" s="7">
        <v>33322000</v>
      </c>
    </row>
    <row r="32" spans="1:21">
      <c r="A32" t="s">
        <v>243</v>
      </c>
      <c r="B32" s="7">
        <v>1320000</v>
      </c>
      <c r="U32">
        <f>GETPIVOTDATA("Total Revenue (PKR)",'pivot and charts'!$A$87)+'pivot and charts'!A86</f>
        <v>33322000</v>
      </c>
    </row>
    <row r="33" spans="1:2">
      <c r="A33" t="s">
        <v>239</v>
      </c>
      <c r="B33" s="7">
        <v>1092750</v>
      </c>
    </row>
    <row r="34" spans="1:2">
      <c r="A34" t="s">
        <v>230</v>
      </c>
      <c r="B34" s="7">
        <v>4213000</v>
      </c>
    </row>
    <row r="35" spans="1:2">
      <c r="A35" t="s">
        <v>231</v>
      </c>
      <c r="B35" s="7">
        <v>3602500</v>
      </c>
    </row>
    <row r="36" spans="1:2">
      <c r="A36" t="s">
        <v>232</v>
      </c>
      <c r="B36" s="7">
        <v>4013500</v>
      </c>
    </row>
    <row r="37" spans="1:2">
      <c r="A37" t="s">
        <v>240</v>
      </c>
      <c r="B37" s="7">
        <v>1304500</v>
      </c>
    </row>
    <row r="38" spans="1:2">
      <c r="A38" t="s">
        <v>233</v>
      </c>
      <c r="B38" s="7">
        <v>2040000</v>
      </c>
    </row>
    <row r="39" spans="1:2">
      <c r="A39" t="s">
        <v>234</v>
      </c>
      <c r="B39" s="7">
        <v>2193500</v>
      </c>
    </row>
    <row r="40" spans="1:2">
      <c r="A40" t="s">
        <v>235</v>
      </c>
      <c r="B40" s="7">
        <v>4219500</v>
      </c>
    </row>
    <row r="41" spans="1:2">
      <c r="A41" t="s">
        <v>241</v>
      </c>
      <c r="B41" s="7">
        <v>2615750</v>
      </c>
    </row>
    <row r="42" spans="1:2">
      <c r="A42" t="s">
        <v>236</v>
      </c>
      <c r="B42" s="7">
        <v>2811000</v>
      </c>
    </row>
    <row r="43" spans="1:2">
      <c r="A43" t="s">
        <v>242</v>
      </c>
      <c r="B43" s="7">
        <v>3896000</v>
      </c>
    </row>
    <row r="44" spans="1:2">
      <c r="A44" t="s">
        <v>229</v>
      </c>
      <c r="B44" s="7">
        <v>33322000</v>
      </c>
    </row>
    <row r="52" spans="1:12">
      <c r="A52" s="10" t="s">
        <v>13</v>
      </c>
      <c r="B52" t="s">
        <v>237</v>
      </c>
    </row>
    <row r="53" spans="1:12">
      <c r="A53" t="s">
        <v>21</v>
      </c>
      <c r="B53" s="4">
        <v>0.20224719101123595</v>
      </c>
    </row>
    <row r="54" spans="1:12">
      <c r="A54" t="s">
        <v>36</v>
      </c>
      <c r="B54" s="4">
        <v>0.19101123595505617</v>
      </c>
    </row>
    <row r="55" spans="1:12">
      <c r="A55" t="s">
        <v>46</v>
      </c>
      <c r="B55" s="4">
        <v>0.1797752808988764</v>
      </c>
    </row>
    <row r="56" spans="1:12">
      <c r="A56" t="s">
        <v>55</v>
      </c>
      <c r="B56" s="4">
        <v>0.15730337078651685</v>
      </c>
    </row>
    <row r="57" spans="1:12">
      <c r="A57" t="s">
        <v>29</v>
      </c>
      <c r="B57" s="15">
        <v>0.15730337078651685</v>
      </c>
    </row>
    <row r="58" spans="1:12">
      <c r="A58" t="s">
        <v>41</v>
      </c>
      <c r="B58" s="4">
        <v>0.11235955056179775</v>
      </c>
      <c r="K58" s="10" t="s">
        <v>2</v>
      </c>
      <c r="L58" t="s">
        <v>228</v>
      </c>
    </row>
    <row r="59" spans="1:12">
      <c r="A59" t="s">
        <v>229</v>
      </c>
      <c r="B59" s="4">
        <v>1</v>
      </c>
      <c r="K59" t="s">
        <v>39</v>
      </c>
      <c r="L59" s="7">
        <v>2053250</v>
      </c>
    </row>
    <row r="60" spans="1:12">
      <c r="K60" t="s">
        <v>69</v>
      </c>
      <c r="L60" s="7">
        <v>4581500</v>
      </c>
    </row>
    <row r="61" spans="1:12">
      <c r="K61" t="s">
        <v>59</v>
      </c>
      <c r="L61" s="7">
        <v>6373000</v>
      </c>
    </row>
    <row r="62" spans="1:12">
      <c r="K62" t="s">
        <v>49</v>
      </c>
      <c r="L62" s="7">
        <v>4111250</v>
      </c>
    </row>
    <row r="63" spans="1:12">
      <c r="K63" t="s">
        <v>66</v>
      </c>
      <c r="L63" s="7">
        <v>1099000</v>
      </c>
    </row>
    <row r="64" spans="1:12">
      <c r="K64" t="s">
        <v>33</v>
      </c>
      <c r="L64" s="7">
        <v>1004750</v>
      </c>
    </row>
    <row r="65" spans="1:12">
      <c r="K65" t="s">
        <v>25</v>
      </c>
      <c r="L65" s="7">
        <v>4337750</v>
      </c>
    </row>
    <row r="66" spans="1:12">
      <c r="K66" t="s">
        <v>17</v>
      </c>
      <c r="L66" s="7">
        <v>4315500</v>
      </c>
    </row>
    <row r="67" spans="1:12">
      <c r="K67" t="s">
        <v>53</v>
      </c>
      <c r="L67" s="7">
        <v>2618000</v>
      </c>
    </row>
    <row r="68" spans="1:12">
      <c r="K68" t="s">
        <v>99</v>
      </c>
      <c r="L68" s="7">
        <v>2828000</v>
      </c>
    </row>
    <row r="69" spans="1:12">
      <c r="A69" s="10" t="s">
        <v>5</v>
      </c>
      <c r="B69" t="s">
        <v>228</v>
      </c>
      <c r="K69" t="s">
        <v>229</v>
      </c>
      <c r="L69" s="7">
        <v>33322000</v>
      </c>
    </row>
    <row r="70" spans="1:12">
      <c r="A70" t="s">
        <v>45</v>
      </c>
      <c r="B70" s="7">
        <v>22095750</v>
      </c>
    </row>
    <row r="71" spans="1:12">
      <c r="A71" t="s">
        <v>85</v>
      </c>
      <c r="B71" s="7">
        <v>4686500</v>
      </c>
    </row>
    <row r="72" spans="1:12">
      <c r="A72" t="s">
        <v>20</v>
      </c>
      <c r="B72" s="7">
        <v>4251250</v>
      </c>
    </row>
    <row r="73" spans="1:12">
      <c r="A73" t="s">
        <v>50</v>
      </c>
      <c r="B73" s="7">
        <v>1695750</v>
      </c>
    </row>
    <row r="74" spans="1:12">
      <c r="A74" t="s">
        <v>27</v>
      </c>
      <c r="B74" s="7">
        <v>592750</v>
      </c>
    </row>
    <row r="75" spans="1:12">
      <c r="A75" t="s">
        <v>229</v>
      </c>
      <c r="B75" s="7">
        <v>33322000</v>
      </c>
    </row>
    <row r="86" spans="1:9">
      <c r="A86" s="11"/>
      <c r="C86" s="11"/>
    </row>
    <row r="87" spans="1:9">
      <c r="A87" t="s">
        <v>246</v>
      </c>
      <c r="C87" t="s">
        <v>247</v>
      </c>
      <c r="F87" t="s">
        <v>244</v>
      </c>
    </row>
    <row r="88" spans="1:9">
      <c r="A88" s="12">
        <v>33322000</v>
      </c>
      <c r="C88" s="12">
        <v>3604000</v>
      </c>
      <c r="F88" s="7">
        <v>89</v>
      </c>
    </row>
    <row r="90" spans="1:9">
      <c r="H90" s="10" t="s">
        <v>12</v>
      </c>
      <c r="I90" t="s">
        <v>228</v>
      </c>
    </row>
    <row r="91" spans="1:9">
      <c r="H91" t="s">
        <v>35</v>
      </c>
      <c r="I91" s="7">
        <v>17503000</v>
      </c>
    </row>
    <row r="92" spans="1:9">
      <c r="A92" t="s">
        <v>245</v>
      </c>
      <c r="C92" t="s">
        <v>249</v>
      </c>
      <c r="H92" t="s">
        <v>28</v>
      </c>
      <c r="I92" s="7">
        <v>15819000</v>
      </c>
    </row>
    <row r="93" spans="1:9">
      <c r="A93" s="7">
        <v>925</v>
      </c>
      <c r="C93" s="14">
        <v>0.17679670916769819</v>
      </c>
      <c r="H93" t="s">
        <v>229</v>
      </c>
      <c r="I93" s="7">
        <v>33322000</v>
      </c>
    </row>
  </sheetData>
  <mergeCells count="2">
    <mergeCell ref="A2:B2"/>
    <mergeCell ref="A15:B15"/>
  </mergeCells>
  <pageMargins left="0.75" right="0.75" top="1" bottom="1" header="0.5" footer="0.5"/>
  <pageSetup paperSize="9"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D6:H43"/>
  <sheetViews>
    <sheetView showGridLines="0" showRowColHeaders="0" tabSelected="1" zoomScale="70" zoomScaleNormal="70" workbookViewId="0">
      <selection activeCell="Y16" sqref="Y16"/>
    </sheetView>
  </sheetViews>
  <sheetFormatPr defaultColWidth="8.7265625" defaultRowHeight="14.5"/>
  <cols>
    <col min="1" max="1" width="8.54296875"/>
    <col min="3" max="3" width="8.54296875"/>
    <col min="5" max="5" width="17"/>
    <col min="6" max="6" width="17.36328125"/>
    <col min="8" max="8" width="13.36328125" bestFit="1" customWidth="1"/>
  </cols>
  <sheetData>
    <row r="6" spans="5:6">
      <c r="F6" s="1" t="s">
        <v>238</v>
      </c>
    </row>
    <row r="9" spans="5:6" ht="26">
      <c r="E9" s="2"/>
    </row>
    <row r="43" spans="4:8">
      <c r="D43">
        <f>GETPIVOTDATA("Units Sold",'pivot and charts'!$A$92)</f>
        <v>925</v>
      </c>
      <c r="E43" s="5">
        <f>GETPIVOTDATA("Margin",'pivot and charts'!$C$92)</f>
        <v>0.17679670916769819</v>
      </c>
      <c r="F43" s="13">
        <f>GETPIVOTDATA("Total Revenue (PKR)",'pivot and charts'!$A$87)</f>
        <v>33322000</v>
      </c>
      <c r="H43" s="13">
        <f>GETPIVOTDATA("Profit (PKR)",'pivot and charts'!$C$87)</f>
        <v>3604000</v>
      </c>
    </row>
  </sheetData>
  <pageMargins left="0.25" right="0.25" top="0.75" bottom="0.75" header="0.29861111111111099" footer="0.29861111111111099"/>
  <pageSetup paperSize="9" scale="64"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uncleaned_sales data</vt:lpstr>
      <vt:lpstr>clean_sales data</vt:lpstr>
      <vt:lpstr>pivot and charts</vt:lpstr>
      <vt:lpstr>Dashboard</vt:lpstr>
      <vt:lpstr>pivot1</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BISMILLAH COMP</dc:creator>
  <cp:lastModifiedBy>BISMILLAH COMP</cp:lastModifiedBy>
  <dcterms:created xsi:type="dcterms:W3CDTF">2026-05-12T16:48:00Z</dcterms:created>
  <dcterms:modified xsi:type="dcterms:W3CDTF">2026-07-01T07:28:28Z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1033-12.1.0.26880</vt:lpwstr>
  </property>
  <property fmtid="{D5CDD505-2E9C-101B-9397-08002B2CF9AE}" pid="3" name="CalculationRule">
    <vt:i4>0</vt:i4>
  </property>
  <property fmtid="{D5CDD505-2E9C-101B-9397-08002B2CF9AE}" pid="4" name="ICV">
    <vt:lpwstr>5023C84147E641148E0D464CE57A45F1_13</vt:lpwstr>
  </property>
</Properties>
</file>